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vindhanand/Documents/2026/FIT3179/Assignment 2/FIT3179Assignment2/data-prep/"/>
    </mc:Choice>
  </mc:AlternateContent>
  <xr:revisionPtr revIDLastSave="0" documentId="13_ncr:1_{0D1E28A7-E1B5-9549-823B-F58436348751}" xr6:coauthVersionLast="47" xr6:coauthVersionMax="47" xr10:uidLastSave="{00000000-0000-0000-0000-000000000000}"/>
  <bookViews>
    <workbookView xWindow="19340" yWindow="-20920" windowWidth="25380" windowHeight="20780" xr2:uid="{AAFBAE96-202E-9143-BE27-8826031B747E}"/>
  </bookViews>
  <sheets>
    <sheet name="Summary" sheetId="8" r:id="rId1"/>
    <sheet name="Summary2" sheetId="9" r:id="rId2"/>
    <sheet name="NSW" sheetId="1" r:id="rId3"/>
    <sheet name="VIC" sheetId="2" r:id="rId4"/>
    <sheet name="QLD" sheetId="3" r:id="rId5"/>
    <sheet name="SA" sheetId="4" r:id="rId6"/>
    <sheet name="WA" sheetId="5" r:id="rId7"/>
    <sheet name="TAS" sheetId="6" r:id="rId8"/>
    <sheet name="NT" sheetId="7" r:id="rId9"/>
  </sheets>
  <definedNames>
    <definedName name="nsw_rainfall_1" localSheetId="2">NSW!$A$2:$B$127</definedName>
    <definedName name="nt_rainfall" localSheetId="8">NT!$A$2:$B$127</definedName>
    <definedName name="qld_rainfall" localSheetId="4">QLD!$A$2:$B$127</definedName>
    <definedName name="sa_rainfall" localSheetId="5">SA!$A$2:$B$127</definedName>
    <definedName name="tas_rainfall" localSheetId="7">TAS!$A$2:$B$127</definedName>
    <definedName name="vic_rainfall" localSheetId="3">VIC!$A$2:$B$127</definedName>
    <definedName name="wa_rainfall" localSheetId="6">WA!$A$2:$B$127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27" i="7" l="1"/>
  <c r="C127" i="7"/>
  <c r="D126" i="7"/>
  <c r="C126" i="7"/>
  <c r="D125" i="7"/>
  <c r="C125" i="7"/>
  <c r="D124" i="7"/>
  <c r="C124" i="7"/>
  <c r="D123" i="7"/>
  <c r="C123" i="7"/>
  <c r="D122" i="7"/>
  <c r="C122" i="7"/>
  <c r="D121" i="7"/>
  <c r="C121" i="7"/>
  <c r="D120" i="7"/>
  <c r="C120" i="7"/>
  <c r="D119" i="7"/>
  <c r="C119" i="7"/>
  <c r="D118" i="7"/>
  <c r="C118" i="7"/>
  <c r="D117" i="7"/>
  <c r="C117" i="7"/>
  <c r="D116" i="7"/>
  <c r="C116" i="7"/>
  <c r="D115" i="7"/>
  <c r="C115" i="7"/>
  <c r="D114" i="7"/>
  <c r="C114" i="7"/>
  <c r="D113" i="7"/>
  <c r="C113" i="7"/>
  <c r="D112" i="7"/>
  <c r="C112" i="7"/>
  <c r="D111" i="7"/>
  <c r="C111" i="7"/>
  <c r="D110" i="7"/>
  <c r="C110" i="7"/>
  <c r="D109" i="7"/>
  <c r="C109" i="7"/>
  <c r="D108" i="7"/>
  <c r="C108" i="7"/>
  <c r="D107" i="7"/>
  <c r="C107" i="7"/>
  <c r="D106" i="7"/>
  <c r="C106" i="7"/>
  <c r="D105" i="7"/>
  <c r="C105" i="7"/>
  <c r="D104" i="7"/>
  <c r="C104" i="7"/>
  <c r="D103" i="7"/>
  <c r="C103" i="7"/>
  <c r="D102" i="7"/>
  <c r="C102" i="7"/>
  <c r="D101" i="7"/>
  <c r="C101" i="7"/>
  <c r="D100" i="7"/>
  <c r="C100" i="7"/>
  <c r="D99" i="7"/>
  <c r="C99" i="7"/>
  <c r="D98" i="7"/>
  <c r="C98" i="7"/>
  <c r="D97" i="7"/>
  <c r="C97" i="7"/>
  <c r="D96" i="7"/>
  <c r="C96" i="7"/>
  <c r="D95" i="7"/>
  <c r="C95" i="7"/>
  <c r="D94" i="7"/>
  <c r="C94" i="7"/>
  <c r="D93" i="7"/>
  <c r="C93" i="7"/>
  <c r="D92" i="7"/>
  <c r="C92" i="7"/>
  <c r="D91" i="7"/>
  <c r="C91" i="7"/>
  <c r="D90" i="7"/>
  <c r="C90" i="7"/>
  <c r="D89" i="7"/>
  <c r="C89" i="7"/>
  <c r="D88" i="7"/>
  <c r="C88" i="7"/>
  <c r="D87" i="7"/>
  <c r="C87" i="7"/>
  <c r="D86" i="7"/>
  <c r="C86" i="7"/>
  <c r="D85" i="7"/>
  <c r="C85" i="7"/>
  <c r="D84" i="7"/>
  <c r="C84" i="7"/>
  <c r="D83" i="7"/>
  <c r="C83" i="7"/>
  <c r="D82" i="7"/>
  <c r="C82" i="7"/>
  <c r="D81" i="7"/>
  <c r="C81" i="7"/>
  <c r="D80" i="7"/>
  <c r="C80" i="7"/>
  <c r="D79" i="7"/>
  <c r="C79" i="7"/>
  <c r="D78" i="7"/>
  <c r="C78" i="7"/>
  <c r="D77" i="7"/>
  <c r="C77" i="7"/>
  <c r="D76" i="7"/>
  <c r="C76" i="7"/>
  <c r="D75" i="7"/>
  <c r="C75" i="7"/>
  <c r="D74" i="7"/>
  <c r="C74" i="7"/>
  <c r="D73" i="7"/>
  <c r="C73" i="7"/>
  <c r="D72" i="7"/>
  <c r="C72" i="7"/>
  <c r="D71" i="7"/>
  <c r="C71" i="7"/>
  <c r="D70" i="7"/>
  <c r="C70" i="7"/>
  <c r="D69" i="7"/>
  <c r="C69" i="7"/>
  <c r="D68" i="7"/>
  <c r="C68" i="7"/>
  <c r="D67" i="7"/>
  <c r="C67" i="7"/>
  <c r="D66" i="7"/>
  <c r="C66" i="7"/>
  <c r="D65" i="7"/>
  <c r="C65" i="7"/>
  <c r="D64" i="7"/>
  <c r="C64" i="7"/>
  <c r="D63" i="7"/>
  <c r="C63" i="7"/>
  <c r="D62" i="7"/>
  <c r="C62" i="7"/>
  <c r="D61" i="7"/>
  <c r="C61" i="7"/>
  <c r="D60" i="7"/>
  <c r="C60" i="7"/>
  <c r="D59" i="7"/>
  <c r="C59" i="7"/>
  <c r="D58" i="7"/>
  <c r="C58" i="7"/>
  <c r="D57" i="7"/>
  <c r="C57" i="7"/>
  <c r="D56" i="7"/>
  <c r="C56" i="7"/>
  <c r="D55" i="7"/>
  <c r="C55" i="7"/>
  <c r="D54" i="7"/>
  <c r="C54" i="7"/>
  <c r="D53" i="7"/>
  <c r="C53" i="7"/>
  <c r="D52" i="7"/>
  <c r="C52" i="7"/>
  <c r="D51" i="7"/>
  <c r="C51" i="7"/>
  <c r="D50" i="7"/>
  <c r="C50" i="7"/>
  <c r="D49" i="7"/>
  <c r="C49" i="7"/>
  <c r="D48" i="7"/>
  <c r="C48" i="7"/>
  <c r="D47" i="7"/>
  <c r="C47" i="7"/>
  <c r="D46" i="7"/>
  <c r="C46" i="7"/>
  <c r="D45" i="7"/>
  <c r="C45" i="7"/>
  <c r="D44" i="7"/>
  <c r="C44" i="7"/>
  <c r="D43" i="7"/>
  <c r="C43" i="7"/>
  <c r="D42" i="7"/>
  <c r="C42" i="7"/>
  <c r="D41" i="7"/>
  <c r="C41" i="7"/>
  <c r="D40" i="7"/>
  <c r="C40" i="7"/>
  <c r="D39" i="7"/>
  <c r="C39" i="7"/>
  <c r="D38" i="7"/>
  <c r="C38" i="7"/>
  <c r="D37" i="7"/>
  <c r="C37" i="7"/>
  <c r="D36" i="7"/>
  <c r="C36" i="7"/>
  <c r="D35" i="7"/>
  <c r="C35" i="7"/>
  <c r="D34" i="7"/>
  <c r="C34" i="7"/>
  <c r="D33" i="7"/>
  <c r="C33" i="7"/>
  <c r="D32" i="7"/>
  <c r="C32" i="7"/>
  <c r="D31" i="7"/>
  <c r="C31" i="7"/>
  <c r="D30" i="7"/>
  <c r="C30" i="7"/>
  <c r="D29" i="7"/>
  <c r="C29" i="7"/>
  <c r="D28" i="7"/>
  <c r="C28" i="7"/>
  <c r="D27" i="7"/>
  <c r="C27" i="7"/>
  <c r="D26" i="7"/>
  <c r="C26" i="7"/>
  <c r="D25" i="7"/>
  <c r="C25" i="7"/>
  <c r="D24" i="7"/>
  <c r="C24" i="7"/>
  <c r="D23" i="7"/>
  <c r="C23" i="7"/>
  <c r="D22" i="7"/>
  <c r="C22" i="7"/>
  <c r="D21" i="7"/>
  <c r="C21" i="7"/>
  <c r="D20" i="7"/>
  <c r="C20" i="7"/>
  <c r="D19" i="7"/>
  <c r="C19" i="7"/>
  <c r="D18" i="7"/>
  <c r="C18" i="7"/>
  <c r="D17" i="7"/>
  <c r="C17" i="7"/>
  <c r="D16" i="7"/>
  <c r="C16" i="7"/>
  <c r="D15" i="7"/>
  <c r="C15" i="7"/>
  <c r="D14" i="7"/>
  <c r="C14" i="7"/>
  <c r="D13" i="7"/>
  <c r="C13" i="7"/>
  <c r="D12" i="7"/>
  <c r="C12" i="7"/>
  <c r="D11" i="7"/>
  <c r="C11" i="7"/>
  <c r="D10" i="7"/>
  <c r="C10" i="7"/>
  <c r="D9" i="7"/>
  <c r="C9" i="7"/>
  <c r="D8" i="7"/>
  <c r="C8" i="7"/>
  <c r="D7" i="7"/>
  <c r="C7" i="7"/>
  <c r="D6" i="7"/>
  <c r="C6" i="7"/>
  <c r="D5" i="7"/>
  <c r="C5" i="7"/>
  <c r="D4" i="7"/>
  <c r="C4" i="7"/>
  <c r="D3" i="7"/>
  <c r="C3" i="7"/>
  <c r="D2" i="7"/>
  <c r="C2" i="7"/>
  <c r="D127" i="6"/>
  <c r="C127" i="6"/>
  <c r="D126" i="6"/>
  <c r="C126" i="6"/>
  <c r="D125" i="6"/>
  <c r="C125" i="6"/>
  <c r="D124" i="6"/>
  <c r="C124" i="6"/>
  <c r="D123" i="6"/>
  <c r="C123" i="6"/>
  <c r="D122" i="6"/>
  <c r="C122" i="6"/>
  <c r="D121" i="6"/>
  <c r="C121" i="6"/>
  <c r="D120" i="6"/>
  <c r="C120" i="6"/>
  <c r="D119" i="6"/>
  <c r="C119" i="6"/>
  <c r="D118" i="6"/>
  <c r="C118" i="6"/>
  <c r="D117" i="6"/>
  <c r="C117" i="6"/>
  <c r="D116" i="6"/>
  <c r="C116" i="6"/>
  <c r="D115" i="6"/>
  <c r="C115" i="6"/>
  <c r="D114" i="6"/>
  <c r="C114" i="6"/>
  <c r="D113" i="6"/>
  <c r="C113" i="6"/>
  <c r="D112" i="6"/>
  <c r="C112" i="6"/>
  <c r="D111" i="6"/>
  <c r="C111" i="6"/>
  <c r="D110" i="6"/>
  <c r="C110" i="6"/>
  <c r="D109" i="6"/>
  <c r="C109" i="6"/>
  <c r="D108" i="6"/>
  <c r="C108" i="6"/>
  <c r="D107" i="6"/>
  <c r="C107" i="6"/>
  <c r="D106" i="6"/>
  <c r="C106" i="6"/>
  <c r="D105" i="6"/>
  <c r="C105" i="6"/>
  <c r="D104" i="6"/>
  <c r="C104" i="6"/>
  <c r="D103" i="6"/>
  <c r="C103" i="6"/>
  <c r="D102" i="6"/>
  <c r="C102" i="6"/>
  <c r="D101" i="6"/>
  <c r="C101" i="6"/>
  <c r="D100" i="6"/>
  <c r="C100" i="6"/>
  <c r="D99" i="6"/>
  <c r="C99" i="6"/>
  <c r="D98" i="6"/>
  <c r="C98" i="6"/>
  <c r="D97" i="6"/>
  <c r="C97" i="6"/>
  <c r="D96" i="6"/>
  <c r="C96" i="6"/>
  <c r="D95" i="6"/>
  <c r="C95" i="6"/>
  <c r="D94" i="6"/>
  <c r="C94" i="6"/>
  <c r="D93" i="6"/>
  <c r="C93" i="6"/>
  <c r="D92" i="6"/>
  <c r="C92" i="6"/>
  <c r="D91" i="6"/>
  <c r="C91" i="6"/>
  <c r="D90" i="6"/>
  <c r="C90" i="6"/>
  <c r="D89" i="6"/>
  <c r="C89" i="6"/>
  <c r="D88" i="6"/>
  <c r="C88" i="6"/>
  <c r="D87" i="6"/>
  <c r="C87" i="6"/>
  <c r="D86" i="6"/>
  <c r="C86" i="6"/>
  <c r="D85" i="6"/>
  <c r="C85" i="6"/>
  <c r="D84" i="6"/>
  <c r="C84" i="6"/>
  <c r="D83" i="6"/>
  <c r="C83" i="6"/>
  <c r="D82" i="6"/>
  <c r="C82" i="6"/>
  <c r="D81" i="6"/>
  <c r="C81" i="6"/>
  <c r="D80" i="6"/>
  <c r="C80" i="6"/>
  <c r="D79" i="6"/>
  <c r="C79" i="6"/>
  <c r="D78" i="6"/>
  <c r="C78" i="6"/>
  <c r="D77" i="6"/>
  <c r="C77" i="6"/>
  <c r="D76" i="6"/>
  <c r="C76" i="6"/>
  <c r="D75" i="6"/>
  <c r="C75" i="6"/>
  <c r="D74" i="6"/>
  <c r="C74" i="6"/>
  <c r="D73" i="6"/>
  <c r="C73" i="6"/>
  <c r="D72" i="6"/>
  <c r="C72" i="6"/>
  <c r="D71" i="6"/>
  <c r="C71" i="6"/>
  <c r="D70" i="6"/>
  <c r="C70" i="6"/>
  <c r="D69" i="6"/>
  <c r="C69" i="6"/>
  <c r="D68" i="6"/>
  <c r="C68" i="6"/>
  <c r="D67" i="6"/>
  <c r="C67" i="6"/>
  <c r="D66" i="6"/>
  <c r="C66" i="6"/>
  <c r="D65" i="6"/>
  <c r="C65" i="6"/>
  <c r="D64" i="6"/>
  <c r="C64" i="6"/>
  <c r="D63" i="6"/>
  <c r="C63" i="6"/>
  <c r="D62" i="6"/>
  <c r="C62" i="6"/>
  <c r="D61" i="6"/>
  <c r="C61" i="6"/>
  <c r="D60" i="6"/>
  <c r="C60" i="6"/>
  <c r="D59" i="6"/>
  <c r="C59" i="6"/>
  <c r="D58" i="6"/>
  <c r="C58" i="6"/>
  <c r="D57" i="6"/>
  <c r="C57" i="6"/>
  <c r="D56" i="6"/>
  <c r="C56" i="6"/>
  <c r="D55" i="6"/>
  <c r="C55" i="6"/>
  <c r="D54" i="6"/>
  <c r="C54" i="6"/>
  <c r="D53" i="6"/>
  <c r="C53" i="6"/>
  <c r="D52" i="6"/>
  <c r="C52" i="6"/>
  <c r="D51" i="6"/>
  <c r="C51" i="6"/>
  <c r="D50" i="6"/>
  <c r="C50" i="6"/>
  <c r="D49" i="6"/>
  <c r="C49" i="6"/>
  <c r="D48" i="6"/>
  <c r="C48" i="6"/>
  <c r="D47" i="6"/>
  <c r="C47" i="6"/>
  <c r="D46" i="6"/>
  <c r="C46" i="6"/>
  <c r="D45" i="6"/>
  <c r="C45" i="6"/>
  <c r="D44" i="6"/>
  <c r="C44" i="6"/>
  <c r="D43" i="6"/>
  <c r="C43" i="6"/>
  <c r="D42" i="6"/>
  <c r="C42" i="6"/>
  <c r="D41" i="6"/>
  <c r="C41" i="6"/>
  <c r="D40" i="6"/>
  <c r="C40" i="6"/>
  <c r="D39" i="6"/>
  <c r="C39" i="6"/>
  <c r="D38" i="6"/>
  <c r="C38" i="6"/>
  <c r="D37" i="6"/>
  <c r="C37" i="6"/>
  <c r="D36" i="6"/>
  <c r="C36" i="6"/>
  <c r="D35" i="6"/>
  <c r="C35" i="6"/>
  <c r="D34" i="6"/>
  <c r="C34" i="6"/>
  <c r="D33" i="6"/>
  <c r="C33" i="6"/>
  <c r="D32" i="6"/>
  <c r="C32" i="6"/>
  <c r="D31" i="6"/>
  <c r="C31" i="6"/>
  <c r="D30" i="6"/>
  <c r="C30" i="6"/>
  <c r="D29" i="6"/>
  <c r="C29" i="6"/>
  <c r="D28" i="6"/>
  <c r="C28" i="6"/>
  <c r="D27" i="6"/>
  <c r="C27" i="6"/>
  <c r="D26" i="6"/>
  <c r="C26" i="6"/>
  <c r="D25" i="6"/>
  <c r="C25" i="6"/>
  <c r="D24" i="6"/>
  <c r="C24" i="6"/>
  <c r="D23" i="6"/>
  <c r="C23" i="6"/>
  <c r="D22" i="6"/>
  <c r="C22" i="6"/>
  <c r="D21" i="6"/>
  <c r="C21" i="6"/>
  <c r="D20" i="6"/>
  <c r="C20" i="6"/>
  <c r="D19" i="6"/>
  <c r="C19" i="6"/>
  <c r="D18" i="6"/>
  <c r="C18" i="6"/>
  <c r="D17" i="6"/>
  <c r="C17" i="6"/>
  <c r="D16" i="6"/>
  <c r="C16" i="6"/>
  <c r="D15" i="6"/>
  <c r="C15" i="6"/>
  <c r="D14" i="6"/>
  <c r="C14" i="6"/>
  <c r="D13" i="6"/>
  <c r="C13" i="6"/>
  <c r="D12" i="6"/>
  <c r="C12" i="6"/>
  <c r="D11" i="6"/>
  <c r="C11" i="6"/>
  <c r="D10" i="6"/>
  <c r="C10" i="6"/>
  <c r="D9" i="6"/>
  <c r="C9" i="6"/>
  <c r="D8" i="6"/>
  <c r="C8" i="6"/>
  <c r="D7" i="6"/>
  <c r="C7" i="6"/>
  <c r="D6" i="6"/>
  <c r="C6" i="6"/>
  <c r="D5" i="6"/>
  <c r="C5" i="6"/>
  <c r="D4" i="6"/>
  <c r="C4" i="6"/>
  <c r="D3" i="6"/>
  <c r="C3" i="6"/>
  <c r="D2" i="6"/>
  <c r="C2" i="6"/>
  <c r="D127" i="5"/>
  <c r="C127" i="5"/>
  <c r="D126" i="5"/>
  <c r="C126" i="5"/>
  <c r="D125" i="5"/>
  <c r="C125" i="5"/>
  <c r="D124" i="5"/>
  <c r="C124" i="5"/>
  <c r="D123" i="5"/>
  <c r="C123" i="5"/>
  <c r="D122" i="5"/>
  <c r="C122" i="5"/>
  <c r="D121" i="5"/>
  <c r="C121" i="5"/>
  <c r="D120" i="5"/>
  <c r="C120" i="5"/>
  <c r="D119" i="5"/>
  <c r="C119" i="5"/>
  <c r="D118" i="5"/>
  <c r="C118" i="5"/>
  <c r="D117" i="5"/>
  <c r="C117" i="5"/>
  <c r="D116" i="5"/>
  <c r="C116" i="5"/>
  <c r="D115" i="5"/>
  <c r="C115" i="5"/>
  <c r="D114" i="5"/>
  <c r="C114" i="5"/>
  <c r="D113" i="5"/>
  <c r="C113" i="5"/>
  <c r="D112" i="5"/>
  <c r="C112" i="5"/>
  <c r="D111" i="5"/>
  <c r="C111" i="5"/>
  <c r="D110" i="5"/>
  <c r="C110" i="5"/>
  <c r="D109" i="5"/>
  <c r="C109" i="5"/>
  <c r="D108" i="5"/>
  <c r="C108" i="5"/>
  <c r="D107" i="5"/>
  <c r="C107" i="5"/>
  <c r="D106" i="5"/>
  <c r="C106" i="5"/>
  <c r="D105" i="5"/>
  <c r="C105" i="5"/>
  <c r="D104" i="5"/>
  <c r="C104" i="5"/>
  <c r="D103" i="5"/>
  <c r="C103" i="5"/>
  <c r="D102" i="5"/>
  <c r="C102" i="5"/>
  <c r="D101" i="5"/>
  <c r="C101" i="5"/>
  <c r="D100" i="5"/>
  <c r="C100" i="5"/>
  <c r="D99" i="5"/>
  <c r="C99" i="5"/>
  <c r="D98" i="5"/>
  <c r="C98" i="5"/>
  <c r="D97" i="5"/>
  <c r="C97" i="5"/>
  <c r="D96" i="5"/>
  <c r="C96" i="5"/>
  <c r="D95" i="5"/>
  <c r="C95" i="5"/>
  <c r="D94" i="5"/>
  <c r="C94" i="5"/>
  <c r="D93" i="5"/>
  <c r="C93" i="5"/>
  <c r="D92" i="5"/>
  <c r="C92" i="5"/>
  <c r="D91" i="5"/>
  <c r="C91" i="5"/>
  <c r="D90" i="5"/>
  <c r="C90" i="5"/>
  <c r="D89" i="5"/>
  <c r="C89" i="5"/>
  <c r="D88" i="5"/>
  <c r="C88" i="5"/>
  <c r="D87" i="5"/>
  <c r="C87" i="5"/>
  <c r="D86" i="5"/>
  <c r="C86" i="5"/>
  <c r="D85" i="5"/>
  <c r="C85" i="5"/>
  <c r="D84" i="5"/>
  <c r="C84" i="5"/>
  <c r="D83" i="5"/>
  <c r="C83" i="5"/>
  <c r="D82" i="5"/>
  <c r="C82" i="5"/>
  <c r="D81" i="5"/>
  <c r="C81" i="5"/>
  <c r="D80" i="5"/>
  <c r="C80" i="5"/>
  <c r="D79" i="5"/>
  <c r="C79" i="5"/>
  <c r="D78" i="5"/>
  <c r="C78" i="5"/>
  <c r="D77" i="5"/>
  <c r="C77" i="5"/>
  <c r="D76" i="5"/>
  <c r="C76" i="5"/>
  <c r="D75" i="5"/>
  <c r="C75" i="5"/>
  <c r="D74" i="5"/>
  <c r="C74" i="5"/>
  <c r="D73" i="5"/>
  <c r="C73" i="5"/>
  <c r="D72" i="5"/>
  <c r="C72" i="5"/>
  <c r="D71" i="5"/>
  <c r="C71" i="5"/>
  <c r="D70" i="5"/>
  <c r="C70" i="5"/>
  <c r="D69" i="5"/>
  <c r="C69" i="5"/>
  <c r="D68" i="5"/>
  <c r="C68" i="5"/>
  <c r="D67" i="5"/>
  <c r="C67" i="5"/>
  <c r="D66" i="5"/>
  <c r="C66" i="5"/>
  <c r="D65" i="5"/>
  <c r="C65" i="5"/>
  <c r="D64" i="5"/>
  <c r="C64" i="5"/>
  <c r="D63" i="5"/>
  <c r="C63" i="5"/>
  <c r="D62" i="5"/>
  <c r="C62" i="5"/>
  <c r="D61" i="5"/>
  <c r="C61" i="5"/>
  <c r="D60" i="5"/>
  <c r="C60" i="5"/>
  <c r="D59" i="5"/>
  <c r="C59" i="5"/>
  <c r="D58" i="5"/>
  <c r="C58" i="5"/>
  <c r="D57" i="5"/>
  <c r="C57" i="5"/>
  <c r="D56" i="5"/>
  <c r="C56" i="5"/>
  <c r="D55" i="5"/>
  <c r="C55" i="5"/>
  <c r="D54" i="5"/>
  <c r="C54" i="5"/>
  <c r="D53" i="5"/>
  <c r="C53" i="5"/>
  <c r="D52" i="5"/>
  <c r="C52" i="5"/>
  <c r="D51" i="5"/>
  <c r="C51" i="5"/>
  <c r="D50" i="5"/>
  <c r="C50" i="5"/>
  <c r="D49" i="5"/>
  <c r="C49" i="5"/>
  <c r="D48" i="5"/>
  <c r="C48" i="5"/>
  <c r="D47" i="5"/>
  <c r="C47" i="5"/>
  <c r="D46" i="5"/>
  <c r="C46" i="5"/>
  <c r="D45" i="5"/>
  <c r="C45" i="5"/>
  <c r="D44" i="5"/>
  <c r="C44" i="5"/>
  <c r="D43" i="5"/>
  <c r="C43" i="5"/>
  <c r="D42" i="5"/>
  <c r="C42" i="5"/>
  <c r="D41" i="5"/>
  <c r="C41" i="5"/>
  <c r="D40" i="5"/>
  <c r="C40" i="5"/>
  <c r="D39" i="5"/>
  <c r="C39" i="5"/>
  <c r="D38" i="5"/>
  <c r="C38" i="5"/>
  <c r="D37" i="5"/>
  <c r="C37" i="5"/>
  <c r="D36" i="5"/>
  <c r="C36" i="5"/>
  <c r="D35" i="5"/>
  <c r="C35" i="5"/>
  <c r="D34" i="5"/>
  <c r="C34" i="5"/>
  <c r="D33" i="5"/>
  <c r="C33" i="5"/>
  <c r="D32" i="5"/>
  <c r="C32" i="5"/>
  <c r="D31" i="5"/>
  <c r="C31" i="5"/>
  <c r="D30" i="5"/>
  <c r="C30" i="5"/>
  <c r="D29" i="5"/>
  <c r="C29" i="5"/>
  <c r="D28" i="5"/>
  <c r="C28" i="5"/>
  <c r="D27" i="5"/>
  <c r="C27" i="5"/>
  <c r="D26" i="5"/>
  <c r="C26" i="5"/>
  <c r="D25" i="5"/>
  <c r="C25" i="5"/>
  <c r="D24" i="5"/>
  <c r="C24" i="5"/>
  <c r="D23" i="5"/>
  <c r="C23" i="5"/>
  <c r="D22" i="5"/>
  <c r="C22" i="5"/>
  <c r="D21" i="5"/>
  <c r="C21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1" i="5"/>
  <c r="C11" i="5"/>
  <c r="D10" i="5"/>
  <c r="C10" i="5"/>
  <c r="D9" i="5"/>
  <c r="C9" i="5"/>
  <c r="D8" i="5"/>
  <c r="C8" i="5"/>
  <c r="D7" i="5"/>
  <c r="C7" i="5"/>
  <c r="D6" i="5"/>
  <c r="C6" i="5"/>
  <c r="D5" i="5"/>
  <c r="C5" i="5"/>
  <c r="D4" i="5"/>
  <c r="C4" i="5"/>
  <c r="D3" i="5"/>
  <c r="C3" i="5"/>
  <c r="D2" i="5"/>
  <c r="C2" i="5"/>
  <c r="D127" i="4"/>
  <c r="C127" i="4"/>
  <c r="D126" i="4"/>
  <c r="C126" i="4"/>
  <c r="D125" i="4"/>
  <c r="C125" i="4"/>
  <c r="D124" i="4"/>
  <c r="C124" i="4"/>
  <c r="D123" i="4"/>
  <c r="C123" i="4"/>
  <c r="D122" i="4"/>
  <c r="C122" i="4"/>
  <c r="D121" i="4"/>
  <c r="C121" i="4"/>
  <c r="D120" i="4"/>
  <c r="C120" i="4"/>
  <c r="D119" i="4"/>
  <c r="C119" i="4"/>
  <c r="D118" i="4"/>
  <c r="C118" i="4"/>
  <c r="D117" i="4"/>
  <c r="C117" i="4"/>
  <c r="D116" i="4"/>
  <c r="C116" i="4"/>
  <c r="D115" i="4"/>
  <c r="C115" i="4"/>
  <c r="D114" i="4"/>
  <c r="C114" i="4"/>
  <c r="D113" i="4"/>
  <c r="C113" i="4"/>
  <c r="D112" i="4"/>
  <c r="C112" i="4"/>
  <c r="D111" i="4"/>
  <c r="C111" i="4"/>
  <c r="D110" i="4"/>
  <c r="C110" i="4"/>
  <c r="D109" i="4"/>
  <c r="C109" i="4"/>
  <c r="D108" i="4"/>
  <c r="C108" i="4"/>
  <c r="D107" i="4"/>
  <c r="C107" i="4"/>
  <c r="D106" i="4"/>
  <c r="C106" i="4"/>
  <c r="D105" i="4"/>
  <c r="C105" i="4"/>
  <c r="D104" i="4"/>
  <c r="C104" i="4"/>
  <c r="D103" i="4"/>
  <c r="C103" i="4"/>
  <c r="D102" i="4"/>
  <c r="C102" i="4"/>
  <c r="D101" i="4"/>
  <c r="C101" i="4"/>
  <c r="D100" i="4"/>
  <c r="C100" i="4"/>
  <c r="D99" i="4"/>
  <c r="C99" i="4"/>
  <c r="D98" i="4"/>
  <c r="C98" i="4"/>
  <c r="D97" i="4"/>
  <c r="C97" i="4"/>
  <c r="D96" i="4"/>
  <c r="C96" i="4"/>
  <c r="D95" i="4"/>
  <c r="C95" i="4"/>
  <c r="D94" i="4"/>
  <c r="C94" i="4"/>
  <c r="D93" i="4"/>
  <c r="C93" i="4"/>
  <c r="D92" i="4"/>
  <c r="C92" i="4"/>
  <c r="D91" i="4"/>
  <c r="C91" i="4"/>
  <c r="D90" i="4"/>
  <c r="C90" i="4"/>
  <c r="D89" i="4"/>
  <c r="C89" i="4"/>
  <c r="D88" i="4"/>
  <c r="C88" i="4"/>
  <c r="D87" i="4"/>
  <c r="C87" i="4"/>
  <c r="D86" i="4"/>
  <c r="C86" i="4"/>
  <c r="D85" i="4"/>
  <c r="C85" i="4"/>
  <c r="D84" i="4"/>
  <c r="C84" i="4"/>
  <c r="D83" i="4"/>
  <c r="C83" i="4"/>
  <c r="D82" i="4"/>
  <c r="C82" i="4"/>
  <c r="D81" i="4"/>
  <c r="C81" i="4"/>
  <c r="D80" i="4"/>
  <c r="C80" i="4"/>
  <c r="D79" i="4"/>
  <c r="C79" i="4"/>
  <c r="D78" i="4"/>
  <c r="C78" i="4"/>
  <c r="D77" i="4"/>
  <c r="C77" i="4"/>
  <c r="D76" i="4"/>
  <c r="C76" i="4"/>
  <c r="D75" i="4"/>
  <c r="C75" i="4"/>
  <c r="D74" i="4"/>
  <c r="C74" i="4"/>
  <c r="D73" i="4"/>
  <c r="C73" i="4"/>
  <c r="D72" i="4"/>
  <c r="C72" i="4"/>
  <c r="D71" i="4"/>
  <c r="C71" i="4"/>
  <c r="D70" i="4"/>
  <c r="C70" i="4"/>
  <c r="D69" i="4"/>
  <c r="C69" i="4"/>
  <c r="D68" i="4"/>
  <c r="C68" i="4"/>
  <c r="D67" i="4"/>
  <c r="C67" i="4"/>
  <c r="D66" i="4"/>
  <c r="C66" i="4"/>
  <c r="D65" i="4"/>
  <c r="C65" i="4"/>
  <c r="D64" i="4"/>
  <c r="C64" i="4"/>
  <c r="D63" i="4"/>
  <c r="C63" i="4"/>
  <c r="D62" i="4"/>
  <c r="C62" i="4"/>
  <c r="D61" i="4"/>
  <c r="C61" i="4"/>
  <c r="D60" i="4"/>
  <c r="C60" i="4"/>
  <c r="D59" i="4"/>
  <c r="C59" i="4"/>
  <c r="D58" i="4"/>
  <c r="C58" i="4"/>
  <c r="D57" i="4"/>
  <c r="C57" i="4"/>
  <c r="D56" i="4"/>
  <c r="C56" i="4"/>
  <c r="D55" i="4"/>
  <c r="C55" i="4"/>
  <c r="D54" i="4"/>
  <c r="C54" i="4"/>
  <c r="D53" i="4"/>
  <c r="C53" i="4"/>
  <c r="D52" i="4"/>
  <c r="C52" i="4"/>
  <c r="D51" i="4"/>
  <c r="C51" i="4"/>
  <c r="D50" i="4"/>
  <c r="C50" i="4"/>
  <c r="D49" i="4"/>
  <c r="C49" i="4"/>
  <c r="D48" i="4"/>
  <c r="C48" i="4"/>
  <c r="D47" i="4"/>
  <c r="C47" i="4"/>
  <c r="D46" i="4"/>
  <c r="C46" i="4"/>
  <c r="D45" i="4"/>
  <c r="C45" i="4"/>
  <c r="D44" i="4"/>
  <c r="C44" i="4"/>
  <c r="D43" i="4"/>
  <c r="C43" i="4"/>
  <c r="D42" i="4"/>
  <c r="C42" i="4"/>
  <c r="D41" i="4"/>
  <c r="C41" i="4"/>
  <c r="D40" i="4"/>
  <c r="C40" i="4"/>
  <c r="D39" i="4"/>
  <c r="C39" i="4"/>
  <c r="D38" i="4"/>
  <c r="C38" i="4"/>
  <c r="D37" i="4"/>
  <c r="C37" i="4"/>
  <c r="D36" i="4"/>
  <c r="C36" i="4"/>
  <c r="D35" i="4"/>
  <c r="C35" i="4"/>
  <c r="D34" i="4"/>
  <c r="C34" i="4"/>
  <c r="D33" i="4"/>
  <c r="C33" i="4"/>
  <c r="D32" i="4"/>
  <c r="C32" i="4"/>
  <c r="D31" i="4"/>
  <c r="C31" i="4"/>
  <c r="D30" i="4"/>
  <c r="C30" i="4"/>
  <c r="D29" i="4"/>
  <c r="C29" i="4"/>
  <c r="D28" i="4"/>
  <c r="C28" i="4"/>
  <c r="D27" i="4"/>
  <c r="C27" i="4"/>
  <c r="D26" i="4"/>
  <c r="C26" i="4"/>
  <c r="D25" i="4"/>
  <c r="C25" i="4"/>
  <c r="D24" i="4"/>
  <c r="C24" i="4"/>
  <c r="D23" i="4"/>
  <c r="C23" i="4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D2" i="4"/>
  <c r="C2" i="4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D127" i="2"/>
  <c r="C127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D117" i="2"/>
  <c r="C117" i="2"/>
  <c r="D116" i="2"/>
  <c r="C116" i="2"/>
  <c r="D115" i="2"/>
  <c r="C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D107" i="2"/>
  <c r="C107" i="2"/>
  <c r="D106" i="2"/>
  <c r="C106" i="2"/>
  <c r="D105" i="2"/>
  <c r="C105" i="2"/>
  <c r="D104" i="2"/>
  <c r="C104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  <c r="D58" i="2"/>
  <c r="C58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4" i="2"/>
  <c r="C4" i="2"/>
  <c r="D3" i="2"/>
  <c r="C3" i="2"/>
  <c r="D2" i="2"/>
  <c r="C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2" i="1"/>
  <c r="G2" i="2" l="1"/>
  <c r="E87" i="2" s="1"/>
  <c r="F87" i="2" s="1"/>
  <c r="G2" i="1"/>
  <c r="E3" i="1" s="1"/>
  <c r="G2" i="7"/>
  <c r="E13" i="7" s="1"/>
  <c r="G2" i="6"/>
  <c r="E29" i="6" s="1"/>
  <c r="G2" i="5"/>
  <c r="E14" i="5" s="1"/>
  <c r="G2" i="4"/>
  <c r="E38" i="4" s="1"/>
  <c r="G2" i="3"/>
  <c r="E89" i="3" s="1"/>
  <c r="E121" i="1" l="1"/>
  <c r="E56" i="1"/>
  <c r="F56" i="1" s="1"/>
  <c r="E78" i="1"/>
  <c r="F78" i="1" s="1"/>
  <c r="E11" i="1"/>
  <c r="E43" i="1"/>
  <c r="E7" i="1"/>
  <c r="E107" i="1"/>
  <c r="E30" i="1"/>
  <c r="E82" i="1"/>
  <c r="E8" i="1"/>
  <c r="F8" i="1" s="1"/>
  <c r="E60" i="1"/>
  <c r="E53" i="1"/>
  <c r="E33" i="1"/>
  <c r="F33" i="1" s="1"/>
  <c r="E122" i="2"/>
  <c r="F122" i="2" s="1"/>
  <c r="E67" i="2"/>
  <c r="E10" i="2"/>
  <c r="E95" i="2"/>
  <c r="F95" i="2" s="1"/>
  <c r="E45" i="2"/>
  <c r="E69" i="2"/>
  <c r="E28" i="2"/>
  <c r="E33" i="2"/>
  <c r="F33" i="2" s="1"/>
  <c r="E81" i="2"/>
  <c r="E31" i="2"/>
  <c r="E39" i="2"/>
  <c r="E109" i="2"/>
  <c r="E66" i="1"/>
  <c r="E88" i="1"/>
  <c r="E51" i="1"/>
  <c r="F51" i="1" s="1"/>
  <c r="E73" i="1"/>
  <c r="F73" i="1" s="1"/>
  <c r="E17" i="1"/>
  <c r="E117" i="1"/>
  <c r="E40" i="1"/>
  <c r="E63" i="1"/>
  <c r="F63" i="1" s="1"/>
  <c r="E38" i="1"/>
  <c r="E90" i="1"/>
  <c r="F90" i="1" s="1"/>
  <c r="E93" i="1"/>
  <c r="E113" i="1"/>
  <c r="F113" i="1" s="1"/>
  <c r="E117" i="2"/>
  <c r="E62" i="2"/>
  <c r="F62" i="2" s="1"/>
  <c r="E8" i="2"/>
  <c r="F8" i="2" s="1"/>
  <c r="E90" i="2"/>
  <c r="F90" i="2" s="1"/>
  <c r="E40" i="2"/>
  <c r="E44" i="2"/>
  <c r="E13" i="2"/>
  <c r="F13" i="2" s="1"/>
  <c r="E126" i="2"/>
  <c r="E76" i="2"/>
  <c r="F76" i="2" s="1"/>
  <c r="E26" i="2"/>
  <c r="E29" i="2"/>
  <c r="E54" i="2"/>
  <c r="F54" i="2" s="1"/>
  <c r="E86" i="1"/>
  <c r="F86" i="1" s="1"/>
  <c r="E101" i="1"/>
  <c r="F101" i="1" s="1"/>
  <c r="E18" i="1"/>
  <c r="F18" i="1" s="1"/>
  <c r="E4" i="1"/>
  <c r="E98" i="1"/>
  <c r="F98" i="1" s="1"/>
  <c r="E24" i="1"/>
  <c r="E107" i="2"/>
  <c r="E4" i="2"/>
  <c r="E30" i="2"/>
  <c r="E2" i="2"/>
  <c r="F2" i="2" s="1"/>
  <c r="E66" i="2"/>
  <c r="E108" i="2"/>
  <c r="E23" i="1"/>
  <c r="F23" i="1" s="1"/>
  <c r="E69" i="1"/>
  <c r="E47" i="1"/>
  <c r="E21" i="1"/>
  <c r="E118" i="1"/>
  <c r="F118" i="1" s="1"/>
  <c r="E94" i="1"/>
  <c r="F94" i="1" s="1"/>
  <c r="E102" i="2"/>
  <c r="E125" i="2"/>
  <c r="E25" i="2"/>
  <c r="E127" i="2"/>
  <c r="E104" i="2"/>
  <c r="E61" i="2"/>
  <c r="E11" i="2"/>
  <c r="E78" i="2"/>
  <c r="E106" i="1"/>
  <c r="E79" i="1"/>
  <c r="F79" i="1" s="1"/>
  <c r="E22" i="1"/>
  <c r="F22" i="1" s="1"/>
  <c r="E57" i="1"/>
  <c r="F57" i="1" s="1"/>
  <c r="E108" i="1"/>
  <c r="E84" i="1"/>
  <c r="E91" i="1"/>
  <c r="F91" i="1" s="1"/>
  <c r="E5" i="1"/>
  <c r="E97" i="2"/>
  <c r="F97" i="2" s="1"/>
  <c r="E120" i="2"/>
  <c r="E70" i="2"/>
  <c r="E20" i="2"/>
  <c r="E7" i="2"/>
  <c r="E98" i="2"/>
  <c r="F98" i="2" s="1"/>
  <c r="E106" i="2"/>
  <c r="E56" i="2"/>
  <c r="E5" i="2"/>
  <c r="E73" i="2"/>
  <c r="F73" i="2" s="1"/>
  <c r="E68" i="2"/>
  <c r="E16" i="1"/>
  <c r="E116" i="1"/>
  <c r="E20" i="1"/>
  <c r="E42" i="1"/>
  <c r="E124" i="1"/>
  <c r="F124" i="1" s="1"/>
  <c r="E67" i="1"/>
  <c r="E19" i="1"/>
  <c r="F19" i="1" s="1"/>
  <c r="E81" i="1"/>
  <c r="E114" i="1"/>
  <c r="F114" i="1" s="1"/>
  <c r="E59" i="1"/>
  <c r="F59" i="1" s="1"/>
  <c r="E12" i="1"/>
  <c r="E99" i="2"/>
  <c r="E83" i="2"/>
  <c r="E59" i="2"/>
  <c r="E96" i="2"/>
  <c r="E46" i="2"/>
  <c r="E84" i="2"/>
  <c r="E23" i="2"/>
  <c r="F23" i="2" s="1"/>
  <c r="E48" i="2"/>
  <c r="E76" i="1"/>
  <c r="F76" i="1" s="1"/>
  <c r="E2" i="1"/>
  <c r="E71" i="1"/>
  <c r="F71" i="1" s="1"/>
  <c r="E103" i="1"/>
  <c r="E27" i="1"/>
  <c r="E127" i="1"/>
  <c r="E70" i="1"/>
  <c r="E83" i="1"/>
  <c r="E68" i="1"/>
  <c r="E110" i="1"/>
  <c r="E123" i="1"/>
  <c r="F123" i="1" s="1"/>
  <c r="E34" i="1"/>
  <c r="E112" i="2"/>
  <c r="F112" i="2" s="1"/>
  <c r="E57" i="2"/>
  <c r="F57" i="2" s="1"/>
  <c r="E6" i="2"/>
  <c r="E85" i="2"/>
  <c r="F85" i="2" s="1"/>
  <c r="E35" i="2"/>
  <c r="E34" i="2"/>
  <c r="F34" i="2" s="1"/>
  <c r="E3" i="2"/>
  <c r="E121" i="2"/>
  <c r="E71" i="2"/>
  <c r="E21" i="2"/>
  <c r="E9" i="2"/>
  <c r="E14" i="2"/>
  <c r="E13" i="1"/>
  <c r="F13" i="1" s="1"/>
  <c r="F14" i="1" s="1"/>
  <c r="F15" i="1" s="1"/>
  <c r="E39" i="1"/>
  <c r="E14" i="1"/>
  <c r="E37" i="1"/>
  <c r="E120" i="1"/>
  <c r="E31" i="1"/>
  <c r="E54" i="1"/>
  <c r="F54" i="1" s="1"/>
  <c r="F55" i="1" s="1"/>
  <c r="E52" i="2"/>
  <c r="F52" i="2" s="1"/>
  <c r="E80" i="2"/>
  <c r="F80" i="2" s="1"/>
  <c r="E19" i="2"/>
  <c r="F19" i="2" s="1"/>
  <c r="E116" i="2"/>
  <c r="E16" i="2"/>
  <c r="E103" i="2"/>
  <c r="E96" i="1"/>
  <c r="E64" i="1"/>
  <c r="F64" i="1" s="1"/>
  <c r="E58" i="1"/>
  <c r="F58" i="1" s="1"/>
  <c r="E44" i="1"/>
  <c r="E61" i="1"/>
  <c r="F61" i="1" s="1"/>
  <c r="E74" i="1"/>
  <c r="E42" i="2"/>
  <c r="E75" i="2"/>
  <c r="F75" i="2" s="1"/>
  <c r="E113" i="2"/>
  <c r="F113" i="2" s="1"/>
  <c r="E111" i="2"/>
  <c r="E88" i="2"/>
  <c r="E6" i="1"/>
  <c r="E104" i="1"/>
  <c r="E41" i="1"/>
  <c r="F41" i="1" s="1"/>
  <c r="E29" i="1"/>
  <c r="E25" i="1"/>
  <c r="E37" i="2"/>
  <c r="F37" i="2" s="1"/>
  <c r="E89" i="2"/>
  <c r="E55" i="1"/>
  <c r="E65" i="2"/>
  <c r="F65" i="2" s="1"/>
  <c r="E53" i="2"/>
  <c r="E26" i="1"/>
  <c r="E105" i="2"/>
  <c r="E45" i="1"/>
  <c r="E92" i="2"/>
  <c r="F92" i="2" s="1"/>
  <c r="E32" i="2"/>
  <c r="E115" i="2"/>
  <c r="E15" i="2"/>
  <c r="E114" i="2"/>
  <c r="E93" i="2"/>
  <c r="F93" i="2" s="1"/>
  <c r="E74" i="2"/>
  <c r="E101" i="2"/>
  <c r="E51" i="2"/>
  <c r="F51" i="2" s="1"/>
  <c r="E119" i="2"/>
  <c r="E58" i="2"/>
  <c r="F58" i="2" s="1"/>
  <c r="E126" i="1"/>
  <c r="F126" i="1" s="1"/>
  <c r="F127" i="1" s="1"/>
  <c r="E50" i="1"/>
  <c r="E72" i="1"/>
  <c r="E35" i="1"/>
  <c r="E77" i="1"/>
  <c r="F77" i="1" s="1"/>
  <c r="E49" i="1"/>
  <c r="F49" i="1" s="1"/>
  <c r="E111" i="1"/>
  <c r="E15" i="1"/>
  <c r="E89" i="1"/>
  <c r="E62" i="1"/>
  <c r="F62" i="1" s="1"/>
  <c r="E85" i="1"/>
  <c r="F85" i="1" s="1"/>
  <c r="E105" i="1"/>
  <c r="E82" i="2"/>
  <c r="E27" i="2"/>
  <c r="E110" i="2"/>
  <c r="E60" i="2"/>
  <c r="F60" i="2" s="1"/>
  <c r="E36" i="1"/>
  <c r="F36" i="1" s="1"/>
  <c r="F37" i="1" s="1"/>
  <c r="F38" i="1" s="1"/>
  <c r="F39" i="1" s="1"/>
  <c r="F40" i="1" s="1"/>
  <c r="E28" i="1"/>
  <c r="E80" i="1"/>
  <c r="F80" i="1" s="1"/>
  <c r="E92" i="1"/>
  <c r="F92" i="1" s="1"/>
  <c r="E75" i="1"/>
  <c r="F75" i="1" s="1"/>
  <c r="E87" i="1"/>
  <c r="E99" i="1"/>
  <c r="E32" i="1"/>
  <c r="E65" i="1"/>
  <c r="F65" i="1" s="1"/>
  <c r="E109" i="1"/>
  <c r="E102" i="1"/>
  <c r="F102" i="1" s="1"/>
  <c r="E115" i="1"/>
  <c r="E47" i="2"/>
  <c r="E77" i="2"/>
  <c r="F77" i="2" s="1"/>
  <c r="E17" i="2"/>
  <c r="H8" i="2" s="1"/>
  <c r="E3" i="9" s="1"/>
  <c r="E55" i="2"/>
  <c r="F55" i="2" s="1"/>
  <c r="E94" i="2"/>
  <c r="F94" i="2" s="1"/>
  <c r="E63" i="2"/>
  <c r="E24" i="2"/>
  <c r="E91" i="2"/>
  <c r="F91" i="2" s="1"/>
  <c r="E41" i="2"/>
  <c r="F41" i="2" s="1"/>
  <c r="E64" i="2"/>
  <c r="F64" i="2" s="1"/>
  <c r="E124" i="2"/>
  <c r="F124" i="2" s="1"/>
  <c r="E38" i="2"/>
  <c r="F38" i="2" s="1"/>
  <c r="E46" i="1"/>
  <c r="E48" i="1"/>
  <c r="E100" i="1"/>
  <c r="F100" i="1" s="1"/>
  <c r="E112" i="1"/>
  <c r="F112" i="1" s="1"/>
  <c r="E95" i="1"/>
  <c r="F95" i="1" s="1"/>
  <c r="E97" i="1"/>
  <c r="F97" i="1" s="1"/>
  <c r="E119" i="1"/>
  <c r="E52" i="1"/>
  <c r="F52" i="1" s="1"/>
  <c r="E125" i="1"/>
  <c r="E10" i="1"/>
  <c r="F10" i="1" s="1"/>
  <c r="E122" i="1"/>
  <c r="F122" i="1" s="1"/>
  <c r="E9" i="1"/>
  <c r="F9" i="1" s="1"/>
  <c r="E22" i="2"/>
  <c r="E72" i="2"/>
  <c r="F72" i="2" s="1"/>
  <c r="E12" i="2"/>
  <c r="E100" i="2"/>
  <c r="E50" i="2"/>
  <c r="F50" i="2" s="1"/>
  <c r="E79" i="2"/>
  <c r="E43" i="2"/>
  <c r="E118" i="2"/>
  <c r="F118" i="2" s="1"/>
  <c r="E86" i="2"/>
  <c r="F86" i="2" s="1"/>
  <c r="E36" i="2"/>
  <c r="F36" i="2" s="1"/>
  <c r="E49" i="2"/>
  <c r="F49" i="2" s="1"/>
  <c r="E123" i="2"/>
  <c r="F123" i="2" s="1"/>
  <c r="E18" i="2"/>
  <c r="F18" i="2" s="1"/>
  <c r="E95" i="7"/>
  <c r="F95" i="7" s="1"/>
  <c r="E57" i="7"/>
  <c r="E127" i="7"/>
  <c r="E111" i="7"/>
  <c r="E4" i="7"/>
  <c r="E10" i="7"/>
  <c r="F10" i="7" s="1"/>
  <c r="E42" i="7"/>
  <c r="F42" i="7" s="1"/>
  <c r="E92" i="7"/>
  <c r="E107" i="7"/>
  <c r="E40" i="7"/>
  <c r="E65" i="7"/>
  <c r="E56" i="7"/>
  <c r="E64" i="7"/>
  <c r="E9" i="7"/>
  <c r="F9" i="7" s="1"/>
  <c r="E73" i="7"/>
  <c r="E70" i="7"/>
  <c r="F70" i="7" s="1"/>
  <c r="E6" i="7"/>
  <c r="F6" i="7" s="1"/>
  <c r="E47" i="7"/>
  <c r="E97" i="7"/>
  <c r="E45" i="7"/>
  <c r="E106" i="7"/>
  <c r="F106" i="7" s="1"/>
  <c r="E51" i="7"/>
  <c r="E114" i="7"/>
  <c r="E59" i="7"/>
  <c r="E123" i="7"/>
  <c r="F123" i="7" s="1"/>
  <c r="E68" i="7"/>
  <c r="E85" i="7"/>
  <c r="E8" i="7"/>
  <c r="E52" i="7"/>
  <c r="E102" i="7"/>
  <c r="E50" i="7"/>
  <c r="E101" i="7"/>
  <c r="E46" i="7"/>
  <c r="F46" i="7" s="1"/>
  <c r="E109" i="7"/>
  <c r="F109" i="7" s="1"/>
  <c r="F110" i="7" s="1"/>
  <c r="E54" i="7"/>
  <c r="E118" i="7"/>
  <c r="F118" i="7" s="1"/>
  <c r="E58" i="7"/>
  <c r="F58" i="7" s="1"/>
  <c r="E33" i="7"/>
  <c r="E55" i="7"/>
  <c r="E96" i="7"/>
  <c r="E41" i="7"/>
  <c r="F41" i="7" s="1"/>
  <c r="E104" i="7"/>
  <c r="E49" i="7"/>
  <c r="E108" i="7"/>
  <c r="F108" i="7" s="1"/>
  <c r="E53" i="7"/>
  <c r="E7" i="7"/>
  <c r="F7" i="7" s="1"/>
  <c r="E100" i="7"/>
  <c r="F100" i="7" s="1"/>
  <c r="E12" i="7"/>
  <c r="F12" i="7" s="1"/>
  <c r="E62" i="7"/>
  <c r="E112" i="7"/>
  <c r="F112" i="7" s="1"/>
  <c r="E60" i="7"/>
  <c r="E91" i="7"/>
  <c r="E36" i="7"/>
  <c r="E99" i="7"/>
  <c r="F99" i="7" s="1"/>
  <c r="E39" i="7"/>
  <c r="H5" i="7" s="1"/>
  <c r="C8" i="8" s="1"/>
  <c r="E103" i="7"/>
  <c r="E48" i="7"/>
  <c r="E2" i="7"/>
  <c r="F2" i="7" s="1"/>
  <c r="E105" i="7"/>
  <c r="F105" i="7" s="1"/>
  <c r="E17" i="7"/>
  <c r="E67" i="7"/>
  <c r="E117" i="7"/>
  <c r="E75" i="7"/>
  <c r="F75" i="7" s="1"/>
  <c r="E86" i="7"/>
  <c r="F86" i="7" s="1"/>
  <c r="E31" i="7"/>
  <c r="E89" i="7"/>
  <c r="F89" i="7" s="1"/>
  <c r="E34" i="7"/>
  <c r="E98" i="7"/>
  <c r="E43" i="7"/>
  <c r="F43" i="7" s="1"/>
  <c r="E3" i="7"/>
  <c r="E110" i="7"/>
  <c r="E22" i="7"/>
  <c r="E72" i="7"/>
  <c r="E122" i="7"/>
  <c r="E80" i="7"/>
  <c r="E81" i="7"/>
  <c r="E21" i="7"/>
  <c r="E84" i="7"/>
  <c r="E29" i="7"/>
  <c r="E93" i="7"/>
  <c r="F93" i="7" s="1"/>
  <c r="E38" i="7"/>
  <c r="E30" i="7"/>
  <c r="E115" i="7"/>
  <c r="E27" i="7"/>
  <c r="E77" i="7"/>
  <c r="F77" i="7" s="1"/>
  <c r="E15" i="7"/>
  <c r="E90" i="7"/>
  <c r="E71" i="7"/>
  <c r="E16" i="7"/>
  <c r="E79" i="7"/>
  <c r="E24" i="7"/>
  <c r="E88" i="7"/>
  <c r="E120" i="7"/>
  <c r="E125" i="7"/>
  <c r="E32" i="7"/>
  <c r="F32" i="7" s="1"/>
  <c r="E82" i="7"/>
  <c r="E20" i="7"/>
  <c r="E121" i="7"/>
  <c r="E66" i="7"/>
  <c r="E11" i="7"/>
  <c r="E74" i="7"/>
  <c r="E19" i="7"/>
  <c r="F19" i="7" s="1"/>
  <c r="E83" i="7"/>
  <c r="F83" i="7" s="1"/>
  <c r="E28" i="7"/>
  <c r="E119" i="7"/>
  <c r="E124" i="7"/>
  <c r="F124" i="7" s="1"/>
  <c r="F125" i="7" s="1"/>
  <c r="F126" i="7" s="1"/>
  <c r="F127" i="7" s="1"/>
  <c r="E37" i="7"/>
  <c r="E87" i="7"/>
  <c r="F87" i="7" s="1"/>
  <c r="E35" i="7"/>
  <c r="E116" i="7"/>
  <c r="E61" i="7"/>
  <c r="E5" i="7"/>
  <c r="F5" i="7" s="1"/>
  <c r="E69" i="7"/>
  <c r="E14" i="7"/>
  <c r="E78" i="7"/>
  <c r="F78" i="7" s="1"/>
  <c r="E23" i="7"/>
  <c r="E18" i="7"/>
  <c r="F18" i="7" s="1"/>
  <c r="E25" i="7"/>
  <c r="F25" i="7" s="1"/>
  <c r="E126" i="7"/>
  <c r="E76" i="7"/>
  <c r="F76" i="7" s="1"/>
  <c r="E26" i="7"/>
  <c r="E94" i="7"/>
  <c r="F94" i="7" s="1"/>
  <c r="E44" i="7"/>
  <c r="F44" i="7" s="1"/>
  <c r="E113" i="7"/>
  <c r="F113" i="7" s="1"/>
  <c r="E63" i="7"/>
  <c r="F96" i="7"/>
  <c r="F13" i="7"/>
  <c r="E116" i="6"/>
  <c r="E66" i="6"/>
  <c r="F66" i="6" s="1"/>
  <c r="E16" i="6"/>
  <c r="E19" i="6"/>
  <c r="F19" i="6" s="1"/>
  <c r="E81" i="6"/>
  <c r="E34" i="6"/>
  <c r="E84" i="6"/>
  <c r="E126" i="6"/>
  <c r="E76" i="6"/>
  <c r="F76" i="6" s="1"/>
  <c r="E26" i="6"/>
  <c r="F26" i="6" s="1"/>
  <c r="E14" i="6"/>
  <c r="E64" i="6"/>
  <c r="E121" i="6"/>
  <c r="E71" i="6"/>
  <c r="E21" i="6"/>
  <c r="E3" i="6"/>
  <c r="E104" i="6"/>
  <c r="E31" i="6"/>
  <c r="F31" i="6" s="1"/>
  <c r="E56" i="6"/>
  <c r="E7" i="6"/>
  <c r="F7" i="6" s="1"/>
  <c r="E94" i="6"/>
  <c r="F94" i="6" s="1"/>
  <c r="E46" i="6"/>
  <c r="E79" i="6"/>
  <c r="E49" i="6"/>
  <c r="F49" i="6" s="1"/>
  <c r="E111" i="6"/>
  <c r="E11" i="6"/>
  <c r="F11" i="6" s="1"/>
  <c r="E106" i="6"/>
  <c r="F106" i="6" s="1"/>
  <c r="E89" i="6"/>
  <c r="E127" i="6"/>
  <c r="E101" i="6"/>
  <c r="E99" i="6"/>
  <c r="E2" i="6"/>
  <c r="E74" i="6"/>
  <c r="E91" i="6"/>
  <c r="E41" i="6"/>
  <c r="F41" i="6" s="1"/>
  <c r="E59" i="6"/>
  <c r="E118" i="6"/>
  <c r="F118" i="6" s="1"/>
  <c r="E122" i="6"/>
  <c r="E117" i="6"/>
  <c r="E112" i="6"/>
  <c r="E107" i="6"/>
  <c r="F107" i="6" s="1"/>
  <c r="E102" i="6"/>
  <c r="E97" i="6"/>
  <c r="E92" i="6"/>
  <c r="E87" i="6"/>
  <c r="F87" i="6" s="1"/>
  <c r="E82" i="6"/>
  <c r="F82" i="6" s="1"/>
  <c r="E77" i="6"/>
  <c r="F77" i="6" s="1"/>
  <c r="E72" i="6"/>
  <c r="E67" i="6"/>
  <c r="E62" i="6"/>
  <c r="F62" i="6" s="1"/>
  <c r="E57" i="6"/>
  <c r="F57" i="6" s="1"/>
  <c r="E52" i="6"/>
  <c r="E47" i="6"/>
  <c r="E42" i="6"/>
  <c r="E37" i="6"/>
  <c r="F37" i="6" s="1"/>
  <c r="E32" i="6"/>
  <c r="E27" i="6"/>
  <c r="E22" i="6"/>
  <c r="E17" i="6"/>
  <c r="F17" i="6" s="1"/>
  <c r="E12" i="6"/>
  <c r="E10" i="6"/>
  <c r="E8" i="6"/>
  <c r="E6" i="6"/>
  <c r="F6" i="6" s="1"/>
  <c r="E4" i="6"/>
  <c r="E123" i="6"/>
  <c r="F123" i="6" s="1"/>
  <c r="E98" i="6"/>
  <c r="F98" i="6" s="1"/>
  <c r="E78" i="6"/>
  <c r="F78" i="6" s="1"/>
  <c r="E68" i="6"/>
  <c r="E58" i="6"/>
  <c r="E38" i="6"/>
  <c r="E18" i="6"/>
  <c r="F18" i="6" s="1"/>
  <c r="E13" i="6"/>
  <c r="E108" i="6"/>
  <c r="E88" i="6"/>
  <c r="E73" i="6"/>
  <c r="E28" i="6"/>
  <c r="E125" i="6"/>
  <c r="E120" i="6"/>
  <c r="E115" i="6"/>
  <c r="F115" i="6" s="1"/>
  <c r="E110" i="6"/>
  <c r="E105" i="6"/>
  <c r="F105" i="6" s="1"/>
  <c r="E100" i="6"/>
  <c r="E95" i="6"/>
  <c r="F95" i="6" s="1"/>
  <c r="E90" i="6"/>
  <c r="F90" i="6" s="1"/>
  <c r="E85" i="6"/>
  <c r="E80" i="6"/>
  <c r="E75" i="6"/>
  <c r="F75" i="6" s="1"/>
  <c r="E70" i="6"/>
  <c r="F70" i="6" s="1"/>
  <c r="E65" i="6"/>
  <c r="E60" i="6"/>
  <c r="E55" i="6"/>
  <c r="E50" i="6"/>
  <c r="E45" i="6"/>
  <c r="E40" i="6"/>
  <c r="E35" i="6"/>
  <c r="E30" i="6"/>
  <c r="F30" i="6" s="1"/>
  <c r="E25" i="6"/>
  <c r="F25" i="6" s="1"/>
  <c r="E20" i="6"/>
  <c r="E15" i="6"/>
  <c r="E113" i="6"/>
  <c r="F113" i="6" s="1"/>
  <c r="E103" i="6"/>
  <c r="E93" i="6"/>
  <c r="E83" i="6"/>
  <c r="F83" i="6" s="1"/>
  <c r="E63" i="6"/>
  <c r="E53" i="6"/>
  <c r="E48" i="6"/>
  <c r="E43" i="6"/>
  <c r="E33" i="6"/>
  <c r="F33" i="6" s="1"/>
  <c r="E23" i="6"/>
  <c r="E44" i="6"/>
  <c r="F44" i="6" s="1"/>
  <c r="E24" i="6"/>
  <c r="E61" i="6"/>
  <c r="E114" i="6"/>
  <c r="E5" i="6"/>
  <c r="F5" i="6" s="1"/>
  <c r="E109" i="6"/>
  <c r="E119" i="6"/>
  <c r="E51" i="6"/>
  <c r="E69" i="6"/>
  <c r="E96" i="6"/>
  <c r="E124" i="6"/>
  <c r="E54" i="6"/>
  <c r="E86" i="6"/>
  <c r="F86" i="6" s="1"/>
  <c r="E36" i="6"/>
  <c r="E39" i="6"/>
  <c r="E9" i="6"/>
  <c r="E116" i="5"/>
  <c r="E26" i="5"/>
  <c r="E84" i="5"/>
  <c r="F84" i="5" s="1"/>
  <c r="E34" i="5"/>
  <c r="E5" i="5"/>
  <c r="F5" i="5" s="1"/>
  <c r="E61" i="5"/>
  <c r="E99" i="5"/>
  <c r="E49" i="5"/>
  <c r="F49" i="5" s="1"/>
  <c r="E126" i="5"/>
  <c r="F126" i="5" s="1"/>
  <c r="E56" i="5"/>
  <c r="E94" i="5"/>
  <c r="F94" i="5" s="1"/>
  <c r="E44" i="5"/>
  <c r="F44" i="5" s="1"/>
  <c r="E121" i="5"/>
  <c r="E46" i="5"/>
  <c r="E89" i="5"/>
  <c r="E39" i="5"/>
  <c r="E111" i="5"/>
  <c r="E11" i="5"/>
  <c r="F11" i="5" s="1"/>
  <c r="E79" i="5"/>
  <c r="E29" i="5"/>
  <c r="E74" i="5"/>
  <c r="E7" i="5"/>
  <c r="E96" i="5"/>
  <c r="E114" i="5"/>
  <c r="E64" i="5"/>
  <c r="E21" i="5"/>
  <c r="E122" i="5"/>
  <c r="E117" i="5"/>
  <c r="E112" i="5"/>
  <c r="E107" i="5"/>
  <c r="E102" i="5"/>
  <c r="F102" i="5" s="1"/>
  <c r="E97" i="5"/>
  <c r="F97" i="5" s="1"/>
  <c r="E92" i="5"/>
  <c r="E87" i="5"/>
  <c r="E82" i="5"/>
  <c r="F82" i="5" s="1"/>
  <c r="E77" i="5"/>
  <c r="F77" i="5" s="1"/>
  <c r="E72" i="5"/>
  <c r="E67" i="5"/>
  <c r="E62" i="5"/>
  <c r="E57" i="5"/>
  <c r="F57" i="5" s="1"/>
  <c r="E52" i="5"/>
  <c r="E47" i="5"/>
  <c r="E42" i="5"/>
  <c r="E37" i="5"/>
  <c r="E32" i="5"/>
  <c r="E27" i="5"/>
  <c r="E22" i="5"/>
  <c r="E17" i="5"/>
  <c r="E12" i="5"/>
  <c r="F12" i="5" s="1"/>
  <c r="E10" i="5"/>
  <c r="F10" i="5" s="1"/>
  <c r="E8" i="5"/>
  <c r="E6" i="5"/>
  <c r="F6" i="5" s="1"/>
  <c r="E4" i="5"/>
  <c r="E16" i="5"/>
  <c r="E31" i="5"/>
  <c r="E86" i="5"/>
  <c r="F86" i="5" s="1"/>
  <c r="E76" i="5"/>
  <c r="F76" i="5" s="1"/>
  <c r="E71" i="5"/>
  <c r="E66" i="5"/>
  <c r="E51" i="5"/>
  <c r="E41" i="5"/>
  <c r="F41" i="5" s="1"/>
  <c r="E36" i="5"/>
  <c r="E123" i="5"/>
  <c r="E118" i="5"/>
  <c r="F118" i="5" s="1"/>
  <c r="E113" i="5"/>
  <c r="F113" i="5" s="1"/>
  <c r="E108" i="5"/>
  <c r="E103" i="5"/>
  <c r="F103" i="5" s="1"/>
  <c r="E98" i="5"/>
  <c r="F98" i="5" s="1"/>
  <c r="E93" i="5"/>
  <c r="E88" i="5"/>
  <c r="E83" i="5"/>
  <c r="F83" i="5" s="1"/>
  <c r="E78" i="5"/>
  <c r="E73" i="5"/>
  <c r="E68" i="5"/>
  <c r="E63" i="5"/>
  <c r="E58" i="5"/>
  <c r="E53" i="5"/>
  <c r="E48" i="5"/>
  <c r="E43" i="5"/>
  <c r="E38" i="5"/>
  <c r="E33" i="5"/>
  <c r="E28" i="5"/>
  <c r="E23" i="5"/>
  <c r="F23" i="5" s="1"/>
  <c r="E18" i="5"/>
  <c r="F18" i="5" s="1"/>
  <c r="E13" i="5"/>
  <c r="E125" i="5"/>
  <c r="E120" i="5"/>
  <c r="E115" i="5"/>
  <c r="E110" i="5"/>
  <c r="E105" i="5"/>
  <c r="F105" i="5" s="1"/>
  <c r="E100" i="5"/>
  <c r="F100" i="5" s="1"/>
  <c r="E95" i="5"/>
  <c r="F95" i="5" s="1"/>
  <c r="E90" i="5"/>
  <c r="F90" i="5" s="1"/>
  <c r="E85" i="5"/>
  <c r="F85" i="5" s="1"/>
  <c r="E80" i="5"/>
  <c r="F80" i="5" s="1"/>
  <c r="E75" i="5"/>
  <c r="F75" i="5" s="1"/>
  <c r="E65" i="5"/>
  <c r="E60" i="5"/>
  <c r="E55" i="5"/>
  <c r="E70" i="5"/>
  <c r="F70" i="5" s="1"/>
  <c r="E50" i="5"/>
  <c r="E45" i="5"/>
  <c r="F45" i="5" s="1"/>
  <c r="E40" i="5"/>
  <c r="E35" i="5"/>
  <c r="E30" i="5"/>
  <c r="E25" i="5"/>
  <c r="E20" i="5"/>
  <c r="F20" i="5" s="1"/>
  <c r="E15" i="5"/>
  <c r="E106" i="5"/>
  <c r="F106" i="5" s="1"/>
  <c r="E124" i="5"/>
  <c r="F124" i="5" s="1"/>
  <c r="E24" i="5"/>
  <c r="E127" i="5"/>
  <c r="E101" i="5"/>
  <c r="F101" i="5" s="1"/>
  <c r="E119" i="5"/>
  <c r="E69" i="5"/>
  <c r="F69" i="5" s="1"/>
  <c r="E19" i="5"/>
  <c r="F19" i="5" s="1"/>
  <c r="E2" i="5"/>
  <c r="E91" i="5"/>
  <c r="E109" i="5"/>
  <c r="E59" i="5"/>
  <c r="E9" i="5"/>
  <c r="E81" i="5"/>
  <c r="E104" i="5"/>
  <c r="E54" i="5"/>
  <c r="E3" i="5"/>
  <c r="E126" i="4"/>
  <c r="E76" i="4"/>
  <c r="F76" i="4" s="1"/>
  <c r="E118" i="4"/>
  <c r="F118" i="4" s="1"/>
  <c r="E68" i="4"/>
  <c r="E99" i="4"/>
  <c r="E69" i="4"/>
  <c r="E101" i="4"/>
  <c r="E46" i="4"/>
  <c r="E74" i="4"/>
  <c r="E93" i="4"/>
  <c r="E43" i="4"/>
  <c r="E84" i="4"/>
  <c r="E54" i="4"/>
  <c r="E96" i="4"/>
  <c r="E41" i="4"/>
  <c r="F41" i="4" s="1"/>
  <c r="E59" i="4"/>
  <c r="E88" i="4"/>
  <c r="E122" i="4"/>
  <c r="E117" i="4"/>
  <c r="E112" i="4"/>
  <c r="F112" i="4" s="1"/>
  <c r="E107" i="4"/>
  <c r="E102" i="4"/>
  <c r="F102" i="4" s="1"/>
  <c r="E97" i="4"/>
  <c r="E92" i="4"/>
  <c r="E87" i="4"/>
  <c r="E82" i="4"/>
  <c r="F82" i="4" s="1"/>
  <c r="E77" i="4"/>
  <c r="F77" i="4" s="1"/>
  <c r="E72" i="4"/>
  <c r="E67" i="4"/>
  <c r="E62" i="4"/>
  <c r="E57" i="4"/>
  <c r="F57" i="4" s="1"/>
  <c r="E52" i="4"/>
  <c r="F52" i="4" s="1"/>
  <c r="E47" i="4"/>
  <c r="E42" i="4"/>
  <c r="E37" i="4"/>
  <c r="E32" i="4"/>
  <c r="E27" i="4"/>
  <c r="E22" i="4"/>
  <c r="F22" i="4" s="1"/>
  <c r="E17" i="4"/>
  <c r="E12" i="4"/>
  <c r="F12" i="4" s="1"/>
  <c r="E10" i="4"/>
  <c r="F10" i="4" s="1"/>
  <c r="E8" i="4"/>
  <c r="F8" i="4" s="1"/>
  <c r="E6" i="4"/>
  <c r="E4" i="4"/>
  <c r="E9" i="4"/>
  <c r="F9" i="4" s="1"/>
  <c r="E11" i="4"/>
  <c r="F11" i="4" s="1"/>
  <c r="E7" i="4"/>
  <c r="E5" i="4"/>
  <c r="F5" i="4" s="1"/>
  <c r="E125" i="4"/>
  <c r="E120" i="4"/>
  <c r="E115" i="4"/>
  <c r="E110" i="4"/>
  <c r="E105" i="4"/>
  <c r="E100" i="4"/>
  <c r="F100" i="4" s="1"/>
  <c r="E95" i="4"/>
  <c r="E90" i="4"/>
  <c r="E85" i="4"/>
  <c r="F85" i="4" s="1"/>
  <c r="E80" i="4"/>
  <c r="F80" i="4" s="1"/>
  <c r="E75" i="4"/>
  <c r="F75" i="4" s="1"/>
  <c r="E70" i="4"/>
  <c r="F70" i="4" s="1"/>
  <c r="E65" i="4"/>
  <c r="E60" i="4"/>
  <c r="E55" i="4"/>
  <c r="E50" i="4"/>
  <c r="F50" i="4" s="1"/>
  <c r="E45" i="4"/>
  <c r="F45" i="4" s="1"/>
  <c r="E40" i="4"/>
  <c r="E35" i="4"/>
  <c r="E30" i="4"/>
  <c r="E25" i="4"/>
  <c r="E20" i="4"/>
  <c r="E15" i="4"/>
  <c r="E24" i="4"/>
  <c r="E121" i="4"/>
  <c r="E71" i="4"/>
  <c r="E16" i="4"/>
  <c r="E113" i="4"/>
  <c r="F113" i="4" s="1"/>
  <c r="E63" i="4"/>
  <c r="E13" i="4"/>
  <c r="F13" i="4" s="1"/>
  <c r="E127" i="4"/>
  <c r="E51" i="4"/>
  <c r="E116" i="4"/>
  <c r="E66" i="4"/>
  <c r="E124" i="4"/>
  <c r="F124" i="4" s="1"/>
  <c r="E108" i="4"/>
  <c r="E58" i="4"/>
  <c r="F58" i="4" s="1"/>
  <c r="E3" i="4"/>
  <c r="E79" i="4"/>
  <c r="F79" i="4" s="1"/>
  <c r="E91" i="4"/>
  <c r="F91" i="4" s="1"/>
  <c r="E39" i="4"/>
  <c r="E33" i="4"/>
  <c r="E78" i="4"/>
  <c r="F78" i="4" s="1"/>
  <c r="E44" i="4"/>
  <c r="F44" i="4" s="1"/>
  <c r="E36" i="4"/>
  <c r="E83" i="4"/>
  <c r="F83" i="4" s="1"/>
  <c r="E64" i="4"/>
  <c r="E29" i="4"/>
  <c r="E86" i="4"/>
  <c r="F86" i="4" s="1"/>
  <c r="E31" i="4"/>
  <c r="E19" i="4"/>
  <c r="F19" i="4" s="1"/>
  <c r="E28" i="4"/>
  <c r="E49" i="4"/>
  <c r="F49" i="4" s="1"/>
  <c r="E14" i="4"/>
  <c r="E81" i="4"/>
  <c r="F81" i="4" s="1"/>
  <c r="E26" i="4"/>
  <c r="E123" i="4"/>
  <c r="E73" i="4"/>
  <c r="E23" i="4"/>
  <c r="F23" i="4" s="1"/>
  <c r="E34" i="4"/>
  <c r="E21" i="4"/>
  <c r="E18" i="4"/>
  <c r="F18" i="4" s="1"/>
  <c r="E2" i="4"/>
  <c r="E119" i="4"/>
  <c r="E111" i="4"/>
  <c r="E61" i="4"/>
  <c r="E104" i="4"/>
  <c r="E103" i="4"/>
  <c r="F103" i="4" s="1"/>
  <c r="E53" i="4"/>
  <c r="F53" i="4" s="1"/>
  <c r="E114" i="4"/>
  <c r="E94" i="4"/>
  <c r="E106" i="4"/>
  <c r="E56" i="4"/>
  <c r="E89" i="4"/>
  <c r="E98" i="4"/>
  <c r="E48" i="4"/>
  <c r="E109" i="4"/>
  <c r="E74" i="3"/>
  <c r="E16" i="3"/>
  <c r="E39" i="3"/>
  <c r="E86" i="3"/>
  <c r="E76" i="3"/>
  <c r="F76" i="3" s="1"/>
  <c r="E31" i="3"/>
  <c r="E59" i="3"/>
  <c r="E54" i="3"/>
  <c r="E14" i="3"/>
  <c r="E91" i="3"/>
  <c r="F91" i="3" s="1"/>
  <c r="E106" i="3"/>
  <c r="E2" i="3"/>
  <c r="E34" i="3"/>
  <c r="E101" i="3"/>
  <c r="E99" i="3"/>
  <c r="E66" i="3"/>
  <c r="F66" i="3" s="1"/>
  <c r="E26" i="3"/>
  <c r="F26" i="3" s="1"/>
  <c r="E21" i="3"/>
  <c r="E127" i="3"/>
  <c r="F127" i="3" s="1"/>
  <c r="E61" i="3"/>
  <c r="F61" i="3" s="1"/>
  <c r="E56" i="3"/>
  <c r="F56" i="3" s="1"/>
  <c r="E119" i="3"/>
  <c r="E104" i="3"/>
  <c r="E24" i="3"/>
  <c r="E94" i="3"/>
  <c r="F86" i="3"/>
  <c r="E116" i="3"/>
  <c r="E37" i="3"/>
  <c r="E122" i="3"/>
  <c r="E117" i="3"/>
  <c r="E112" i="3"/>
  <c r="F112" i="3" s="1"/>
  <c r="E107" i="3"/>
  <c r="E102" i="3"/>
  <c r="E97" i="3"/>
  <c r="E92" i="3"/>
  <c r="E87" i="3"/>
  <c r="F87" i="3" s="1"/>
  <c r="E82" i="3"/>
  <c r="E77" i="3"/>
  <c r="F77" i="3" s="1"/>
  <c r="E72" i="3"/>
  <c r="E67" i="3"/>
  <c r="F67" i="3" s="1"/>
  <c r="E62" i="3"/>
  <c r="E57" i="3"/>
  <c r="F57" i="3" s="1"/>
  <c r="E52" i="3"/>
  <c r="F52" i="3" s="1"/>
  <c r="E47" i="3"/>
  <c r="E42" i="3"/>
  <c r="E32" i="3"/>
  <c r="F32" i="3" s="1"/>
  <c r="E27" i="3"/>
  <c r="F27" i="3" s="1"/>
  <c r="E22" i="3"/>
  <c r="E17" i="3"/>
  <c r="E12" i="3"/>
  <c r="F12" i="3" s="1"/>
  <c r="E10" i="3"/>
  <c r="F10" i="3" s="1"/>
  <c r="E8" i="3"/>
  <c r="F8" i="3" s="1"/>
  <c r="E6" i="3"/>
  <c r="E4" i="3"/>
  <c r="E44" i="3"/>
  <c r="F44" i="3" s="1"/>
  <c r="E125" i="3"/>
  <c r="F125" i="3" s="1"/>
  <c r="E120" i="3"/>
  <c r="E115" i="3"/>
  <c r="E110" i="3"/>
  <c r="E105" i="3"/>
  <c r="E100" i="3"/>
  <c r="E95" i="3"/>
  <c r="E90" i="3"/>
  <c r="E85" i="3"/>
  <c r="F85" i="3" s="1"/>
  <c r="E80" i="3"/>
  <c r="F80" i="3" s="1"/>
  <c r="E75" i="3"/>
  <c r="F75" i="3" s="1"/>
  <c r="E70" i="3"/>
  <c r="F70" i="3" s="1"/>
  <c r="E65" i="3"/>
  <c r="F65" i="3" s="1"/>
  <c r="E60" i="3"/>
  <c r="E55" i="3"/>
  <c r="E50" i="3"/>
  <c r="E45" i="3"/>
  <c r="E40" i="3"/>
  <c r="E35" i="3"/>
  <c r="E30" i="3"/>
  <c r="E25" i="3"/>
  <c r="E20" i="3"/>
  <c r="E15" i="3"/>
  <c r="E73" i="3"/>
  <c r="F73" i="3" s="1"/>
  <c r="E108" i="3"/>
  <c r="E7" i="3"/>
  <c r="E118" i="3"/>
  <c r="F118" i="3" s="1"/>
  <c r="E68" i="3"/>
  <c r="E43" i="3"/>
  <c r="E18" i="3"/>
  <c r="F18" i="3" s="1"/>
  <c r="E13" i="3"/>
  <c r="F13" i="3" s="1"/>
  <c r="E28" i="3"/>
  <c r="F28" i="3" s="1"/>
  <c r="E83" i="3"/>
  <c r="F83" i="3" s="1"/>
  <c r="E113" i="3"/>
  <c r="F113" i="3" s="1"/>
  <c r="E63" i="3"/>
  <c r="E38" i="3"/>
  <c r="F38" i="3" s="1"/>
  <c r="E33" i="3"/>
  <c r="E93" i="3"/>
  <c r="F93" i="3" s="1"/>
  <c r="E88" i="3"/>
  <c r="E53" i="3"/>
  <c r="E11" i="3"/>
  <c r="F11" i="3" s="1"/>
  <c r="E123" i="3"/>
  <c r="F123" i="3" s="1"/>
  <c r="E78" i="3"/>
  <c r="F78" i="3" s="1"/>
  <c r="E48" i="3"/>
  <c r="E23" i="3"/>
  <c r="F23" i="3" s="1"/>
  <c r="E103" i="3"/>
  <c r="E98" i="3"/>
  <c r="E58" i="3"/>
  <c r="F58" i="3" s="1"/>
  <c r="E124" i="3"/>
  <c r="F124" i="3" s="1"/>
  <c r="E114" i="3"/>
  <c r="E41" i="3"/>
  <c r="F41" i="3" s="1"/>
  <c r="E19" i="3"/>
  <c r="F19" i="3" s="1"/>
  <c r="E121" i="3"/>
  <c r="E96" i="3"/>
  <c r="E111" i="3"/>
  <c r="E3" i="3"/>
  <c r="E84" i="3"/>
  <c r="E5" i="3"/>
  <c r="F5" i="3" s="1"/>
  <c r="E109" i="3"/>
  <c r="E36" i="3"/>
  <c r="E51" i="3"/>
  <c r="F51" i="3" s="1"/>
  <c r="E46" i="3"/>
  <c r="E71" i="3"/>
  <c r="E29" i="3"/>
  <c r="E69" i="3"/>
  <c r="E81" i="3"/>
  <c r="F81" i="3" s="1"/>
  <c r="E64" i="3"/>
  <c r="E79" i="3"/>
  <c r="E126" i="3"/>
  <c r="F126" i="3" s="1"/>
  <c r="E49" i="3"/>
  <c r="F49" i="3" s="1"/>
  <c r="E9" i="3"/>
  <c r="F9" i="3" s="1"/>
  <c r="H7" i="2"/>
  <c r="E3" i="8" s="1"/>
  <c r="F61" i="2"/>
  <c r="F56" i="2"/>
  <c r="F114" i="2"/>
  <c r="F115" i="2" s="1"/>
  <c r="F116" i="2" s="1"/>
  <c r="F117" i="2" s="1"/>
  <c r="F74" i="2"/>
  <c r="F53" i="2"/>
  <c r="H4" i="2"/>
  <c r="B3" i="8" s="1"/>
  <c r="F63" i="2"/>
  <c r="F20" i="2"/>
  <c r="F21" i="2" s="1"/>
  <c r="F22" i="2" s="1"/>
  <c r="F9" i="2"/>
  <c r="F44" i="2"/>
  <c r="F45" i="2" s="1"/>
  <c r="F46" i="2" s="1"/>
  <c r="F47" i="2" s="1"/>
  <c r="F48" i="2" s="1"/>
  <c r="F66" i="2"/>
  <c r="F67" i="2" s="1"/>
  <c r="F88" i="2"/>
  <c r="F89" i="2" s="1"/>
  <c r="F96" i="2"/>
  <c r="H5" i="2"/>
  <c r="C3" i="8" s="1"/>
  <c r="F25" i="2"/>
  <c r="F26" i="2" s="1"/>
  <c r="F27" i="2" s="1"/>
  <c r="F28" i="2" s="1"/>
  <c r="F29" i="2" s="1"/>
  <c r="F30" i="2" s="1"/>
  <c r="F31" i="2" s="1"/>
  <c r="F10" i="2"/>
  <c r="F11" i="2" s="1"/>
  <c r="F12" i="2" s="1"/>
  <c r="F35" i="2"/>
  <c r="F3" i="2"/>
  <c r="F4" i="2" s="1"/>
  <c r="F5" i="2" s="1"/>
  <c r="F6" i="2" s="1"/>
  <c r="F7" i="2" s="1"/>
  <c r="F58" i="5" l="1"/>
  <c r="F107" i="7"/>
  <c r="H5" i="1"/>
  <c r="C2" i="8" s="1"/>
  <c r="F125" i="1"/>
  <c r="F125" i="2"/>
  <c r="F53" i="3"/>
  <c r="F94" i="3"/>
  <c r="F47" i="7"/>
  <c r="F72" i="1"/>
  <c r="F15" i="2"/>
  <c r="F16" i="2" s="1"/>
  <c r="F17" i="2" s="1"/>
  <c r="F16" i="1"/>
  <c r="F17" i="1" s="1"/>
  <c r="F42" i="1"/>
  <c r="F74" i="1"/>
  <c r="F33" i="7"/>
  <c r="F99" i="1"/>
  <c r="H6" i="1"/>
  <c r="D2" i="8" s="1"/>
  <c r="F59" i="2"/>
  <c r="F68" i="2"/>
  <c r="F69" i="2" s="1"/>
  <c r="F70" i="2" s="1"/>
  <c r="F71" i="2" s="1"/>
  <c r="F125" i="4"/>
  <c r="F46" i="5"/>
  <c r="F101" i="7"/>
  <c r="F59" i="7"/>
  <c r="F50" i="1"/>
  <c r="F42" i="2"/>
  <c r="F43" i="2" s="1"/>
  <c r="F14" i="2"/>
  <c r="F103" i="1"/>
  <c r="F104" i="1" s="1"/>
  <c r="F105" i="1" s="1"/>
  <c r="F106" i="1" s="1"/>
  <c r="F107" i="1" s="1"/>
  <c r="F108" i="1" s="1"/>
  <c r="F109" i="1" s="1"/>
  <c r="F110" i="1" s="1"/>
  <c r="F111" i="1" s="1"/>
  <c r="F20" i="1"/>
  <c r="F99" i="2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H6" i="2"/>
  <c r="D3" i="8" s="1"/>
  <c r="H4" i="1"/>
  <c r="B2" i="8" s="1"/>
  <c r="H8" i="1"/>
  <c r="E2" i="9" s="1"/>
  <c r="F2" i="1"/>
  <c r="F78" i="2"/>
  <c r="F79" i="2" s="1"/>
  <c r="F21" i="1"/>
  <c r="F93" i="1"/>
  <c r="F66" i="1"/>
  <c r="F67" i="1" s="1"/>
  <c r="F68" i="1" s="1"/>
  <c r="F69" i="1" s="1"/>
  <c r="F70" i="1" s="1"/>
  <c r="F59" i="4"/>
  <c r="F119" i="2"/>
  <c r="F120" i="2" s="1"/>
  <c r="F121" i="2" s="1"/>
  <c r="F126" i="2"/>
  <c r="F43" i="1"/>
  <c r="F44" i="1" s="1"/>
  <c r="F45" i="1" s="1"/>
  <c r="F46" i="1" s="1"/>
  <c r="F47" i="1" s="1"/>
  <c r="F48" i="1" s="1"/>
  <c r="F115" i="1"/>
  <c r="F116" i="1" s="1"/>
  <c r="F117" i="1" s="1"/>
  <c r="F39" i="2"/>
  <c r="F40" i="2" s="1"/>
  <c r="F11" i="1"/>
  <c r="F12" i="1" s="1"/>
  <c r="F119" i="1"/>
  <c r="H7" i="1"/>
  <c r="E2" i="8" s="1"/>
  <c r="F120" i="1"/>
  <c r="F24" i="2"/>
  <c r="F81" i="1"/>
  <c r="F82" i="1" s="1"/>
  <c r="F83" i="1" s="1"/>
  <c r="F84" i="1" s="1"/>
  <c r="F24" i="1"/>
  <c r="F25" i="1" s="1"/>
  <c r="F26" i="1" s="1"/>
  <c r="F27" i="1" s="1"/>
  <c r="F28" i="1" s="1"/>
  <c r="F29" i="1" s="1"/>
  <c r="F30" i="1" s="1"/>
  <c r="F31" i="1" s="1"/>
  <c r="F32" i="1" s="1"/>
  <c r="F34" i="1"/>
  <c r="F35" i="1" s="1"/>
  <c r="F91" i="5"/>
  <c r="F114" i="6"/>
  <c r="F108" i="6"/>
  <c r="F109" i="6" s="1"/>
  <c r="F110" i="6" s="1"/>
  <c r="F26" i="7"/>
  <c r="F27" i="7" s="1"/>
  <c r="F96" i="1"/>
  <c r="F127" i="2"/>
  <c r="F81" i="2"/>
  <c r="F82" i="2" s="1"/>
  <c r="F83" i="2" s="1"/>
  <c r="F84" i="2" s="1"/>
  <c r="F53" i="1"/>
  <c r="F32" i="2"/>
  <c r="F74" i="3"/>
  <c r="F59" i="3"/>
  <c r="F60" i="3" s="1"/>
  <c r="F87" i="1"/>
  <c r="F88" i="1" s="1"/>
  <c r="F89" i="1" s="1"/>
  <c r="F60" i="1"/>
  <c r="F121" i="1"/>
  <c r="F71" i="7"/>
  <c r="F72" i="7" s="1"/>
  <c r="F73" i="7" s="1"/>
  <c r="F74" i="7" s="1"/>
  <c r="F20" i="7"/>
  <c r="F21" i="7" s="1"/>
  <c r="F22" i="7" s="1"/>
  <c r="F23" i="7" s="1"/>
  <c r="F24" i="7" s="1"/>
  <c r="F90" i="7"/>
  <c r="F91" i="7" s="1"/>
  <c r="F92" i="7" s="1"/>
  <c r="F34" i="7"/>
  <c r="F35" i="7" s="1"/>
  <c r="F36" i="7" s="1"/>
  <c r="F37" i="7" s="1"/>
  <c r="F38" i="7" s="1"/>
  <c r="F39" i="7" s="1"/>
  <c r="F40" i="7" s="1"/>
  <c r="F48" i="7"/>
  <c r="F49" i="7" s="1"/>
  <c r="F50" i="7" s="1"/>
  <c r="F51" i="7" s="1"/>
  <c r="F102" i="7"/>
  <c r="F103" i="7" s="1"/>
  <c r="F104" i="7" s="1"/>
  <c r="F8" i="7"/>
  <c r="F14" i="7"/>
  <c r="F15" i="7" s="1"/>
  <c r="F16" i="7" s="1"/>
  <c r="F17" i="7" s="1"/>
  <c r="H4" i="7"/>
  <c r="B8" i="8" s="1"/>
  <c r="F60" i="7"/>
  <c r="F61" i="7" s="1"/>
  <c r="F62" i="7" s="1"/>
  <c r="F63" i="7" s="1"/>
  <c r="F64" i="7" s="1"/>
  <c r="F65" i="7" s="1"/>
  <c r="F66" i="7" s="1"/>
  <c r="F67" i="7" s="1"/>
  <c r="F68" i="7" s="1"/>
  <c r="F69" i="7" s="1"/>
  <c r="H6" i="7"/>
  <c r="D8" i="8" s="1"/>
  <c r="F11" i="7"/>
  <c r="F3" i="7"/>
  <c r="F4" i="7" s="1"/>
  <c r="F88" i="7"/>
  <c r="F111" i="7"/>
  <c r="F52" i="7"/>
  <c r="F53" i="7" s="1"/>
  <c r="F54" i="7" s="1"/>
  <c r="F55" i="7" s="1"/>
  <c r="F56" i="7" s="1"/>
  <c r="F57" i="7" s="1"/>
  <c r="H8" i="7"/>
  <c r="E8" i="9" s="1"/>
  <c r="F84" i="7"/>
  <c r="F85" i="7" s="1"/>
  <c r="F45" i="7"/>
  <c r="F119" i="7"/>
  <c r="F120" i="7" s="1"/>
  <c r="F121" i="7" s="1"/>
  <c r="F122" i="7" s="1"/>
  <c r="H7" i="7"/>
  <c r="E8" i="8" s="1"/>
  <c r="F97" i="7"/>
  <c r="F98" i="7" s="1"/>
  <c r="F116" i="7"/>
  <c r="F117" i="7" s="1"/>
  <c r="F79" i="7"/>
  <c r="F80" i="7" s="1"/>
  <c r="F81" i="7" s="1"/>
  <c r="F82" i="7" s="1"/>
  <c r="F114" i="7"/>
  <c r="F115" i="7" s="1"/>
  <c r="F20" i="6"/>
  <c r="F32" i="6"/>
  <c r="F84" i="6"/>
  <c r="F124" i="6"/>
  <c r="F125" i="6" s="1"/>
  <c r="F126" i="6" s="1"/>
  <c r="F127" i="6" s="1"/>
  <c r="F38" i="6"/>
  <c r="F39" i="6" s="1"/>
  <c r="F40" i="6" s="1"/>
  <c r="F116" i="6"/>
  <c r="F117" i="6" s="1"/>
  <c r="F85" i="6"/>
  <c r="F96" i="6"/>
  <c r="F97" i="6" s="1"/>
  <c r="F99" i="6"/>
  <c r="F100" i="6" s="1"/>
  <c r="F101" i="6" s="1"/>
  <c r="F102" i="6" s="1"/>
  <c r="F103" i="6" s="1"/>
  <c r="F104" i="6" s="1"/>
  <c r="H6" i="6"/>
  <c r="D7" i="8" s="1"/>
  <c r="F60" i="6"/>
  <c r="F12" i="6"/>
  <c r="F13" i="6" s="1"/>
  <c r="F14" i="6" s="1"/>
  <c r="F15" i="6" s="1"/>
  <c r="F16" i="6" s="1"/>
  <c r="F112" i="6"/>
  <c r="F58" i="6"/>
  <c r="F59" i="6" s="1"/>
  <c r="F67" i="6"/>
  <c r="F68" i="6" s="1"/>
  <c r="F69" i="6" s="1"/>
  <c r="F27" i="6"/>
  <c r="F28" i="6" s="1"/>
  <c r="F29" i="6" s="1"/>
  <c r="H5" i="6"/>
  <c r="C7" i="8" s="1"/>
  <c r="F63" i="6"/>
  <c r="F64" i="6" s="1"/>
  <c r="F65" i="6" s="1"/>
  <c r="F88" i="6"/>
  <c r="F89" i="6" s="1"/>
  <c r="F42" i="6"/>
  <c r="F43" i="6" s="1"/>
  <c r="F91" i="6"/>
  <c r="F92" i="6" s="1"/>
  <c r="F93" i="6" s="1"/>
  <c r="F34" i="6"/>
  <c r="F35" i="6" s="1"/>
  <c r="F36" i="6" s="1"/>
  <c r="F45" i="6"/>
  <c r="F79" i="6"/>
  <c r="F80" i="6" s="1"/>
  <c r="F81" i="6" s="1"/>
  <c r="F21" i="6"/>
  <c r="F22" i="6" s="1"/>
  <c r="F23" i="6" s="1"/>
  <c r="F24" i="6" s="1"/>
  <c r="F119" i="6"/>
  <c r="F120" i="6" s="1"/>
  <c r="F121" i="6" s="1"/>
  <c r="F122" i="6" s="1"/>
  <c r="H7" i="6"/>
  <c r="E7" i="8" s="1"/>
  <c r="F111" i="6"/>
  <c r="F61" i="6"/>
  <c r="F50" i="6"/>
  <c r="F51" i="6" s="1"/>
  <c r="F52" i="6" s="1"/>
  <c r="F53" i="6" s="1"/>
  <c r="F54" i="6" s="1"/>
  <c r="F55" i="6" s="1"/>
  <c r="F56" i="6" s="1"/>
  <c r="F8" i="6"/>
  <c r="F9" i="6" s="1"/>
  <c r="F10" i="6" s="1"/>
  <c r="H8" i="6"/>
  <c r="E7" i="9" s="1"/>
  <c r="H4" i="6"/>
  <c r="B7" i="8" s="1"/>
  <c r="F2" i="6"/>
  <c r="F46" i="6"/>
  <c r="F47" i="6" s="1"/>
  <c r="F48" i="6" s="1"/>
  <c r="F71" i="6"/>
  <c r="F72" i="6" s="1"/>
  <c r="F73" i="6" s="1"/>
  <c r="F74" i="6" s="1"/>
  <c r="F71" i="5"/>
  <c r="F72" i="5" s="1"/>
  <c r="F73" i="5" s="1"/>
  <c r="F74" i="5" s="1"/>
  <c r="F125" i="5"/>
  <c r="F42" i="5"/>
  <c r="F43" i="5" s="1"/>
  <c r="F96" i="5"/>
  <c r="F87" i="5"/>
  <c r="F88" i="5" s="1"/>
  <c r="F89" i="5" s="1"/>
  <c r="F81" i="5"/>
  <c r="F78" i="5"/>
  <c r="F79" i="5" s="1"/>
  <c r="F22" i="5"/>
  <c r="H8" i="5"/>
  <c r="E6" i="9" s="1"/>
  <c r="H4" i="5"/>
  <c r="B6" i="8" s="1"/>
  <c r="F2" i="5"/>
  <c r="F120" i="5"/>
  <c r="F121" i="5" s="1"/>
  <c r="F122" i="5" s="1"/>
  <c r="F123" i="5" s="1"/>
  <c r="F99" i="5"/>
  <c r="H6" i="5"/>
  <c r="D6" i="8" s="1"/>
  <c r="F25" i="5"/>
  <c r="F26" i="5" s="1"/>
  <c r="F27" i="5" s="1"/>
  <c r="F28" i="5" s="1"/>
  <c r="F29" i="5" s="1"/>
  <c r="F30" i="5" s="1"/>
  <c r="F31" i="5" s="1"/>
  <c r="F32" i="5" s="1"/>
  <c r="F33" i="5" s="1"/>
  <c r="F34" i="5" s="1"/>
  <c r="F35" i="5" s="1"/>
  <c r="F36" i="5" s="1"/>
  <c r="F37" i="5" s="1"/>
  <c r="F38" i="5" s="1"/>
  <c r="F39" i="5" s="1"/>
  <c r="F40" i="5" s="1"/>
  <c r="F21" i="5"/>
  <c r="H5" i="5"/>
  <c r="C6" i="8" s="1"/>
  <c r="F13" i="5"/>
  <c r="F14" i="5" s="1"/>
  <c r="F15" i="5" s="1"/>
  <c r="F16" i="5" s="1"/>
  <c r="F17" i="5" s="1"/>
  <c r="F119" i="5"/>
  <c r="H7" i="5"/>
  <c r="E6" i="8" s="1"/>
  <c r="F104" i="5"/>
  <c r="F47" i="5"/>
  <c r="F48" i="5" s="1"/>
  <c r="F7" i="5"/>
  <c r="F8" i="5" s="1"/>
  <c r="F9" i="5" s="1"/>
  <c r="F92" i="5"/>
  <c r="F93" i="5" s="1"/>
  <c r="F24" i="5"/>
  <c r="F50" i="5"/>
  <c r="F51" i="5" s="1"/>
  <c r="F52" i="5" s="1"/>
  <c r="F53" i="5" s="1"/>
  <c r="F54" i="5" s="1"/>
  <c r="F55" i="5" s="1"/>
  <c r="F56" i="5" s="1"/>
  <c r="F115" i="5"/>
  <c r="F116" i="5" s="1"/>
  <c r="F117" i="5" s="1"/>
  <c r="F114" i="5"/>
  <c r="F127" i="5"/>
  <c r="F59" i="5"/>
  <c r="F60" i="5" s="1"/>
  <c r="F61" i="5" s="1"/>
  <c r="F62" i="5" s="1"/>
  <c r="F63" i="5" s="1"/>
  <c r="F64" i="5" s="1"/>
  <c r="F65" i="5" s="1"/>
  <c r="F66" i="5" s="1"/>
  <c r="F67" i="5" s="1"/>
  <c r="F68" i="5" s="1"/>
  <c r="F107" i="5"/>
  <c r="F108" i="5" s="1"/>
  <c r="F109" i="5" s="1"/>
  <c r="F110" i="5" s="1"/>
  <c r="F111" i="5" s="1"/>
  <c r="F112" i="5" s="1"/>
  <c r="F114" i="4"/>
  <c r="F115" i="4" s="1"/>
  <c r="F116" i="4" s="1"/>
  <c r="F117" i="4" s="1"/>
  <c r="F46" i="4"/>
  <c r="F47" i="4" s="1"/>
  <c r="F101" i="4"/>
  <c r="F43" i="4"/>
  <c r="F126" i="4"/>
  <c r="F127" i="4" s="1"/>
  <c r="F42" i="4"/>
  <c r="F51" i="4"/>
  <c r="F20" i="4"/>
  <c r="F21" i="4" s="1"/>
  <c r="F93" i="4"/>
  <c r="F94" i="4"/>
  <c r="H5" i="4"/>
  <c r="C5" i="8" s="1"/>
  <c r="F87" i="4"/>
  <c r="F88" i="4" s="1"/>
  <c r="F89" i="4" s="1"/>
  <c r="F90" i="4" s="1"/>
  <c r="F92" i="4"/>
  <c r="F105" i="4"/>
  <c r="F106" i="4" s="1"/>
  <c r="F107" i="4" s="1"/>
  <c r="F108" i="4" s="1"/>
  <c r="F109" i="4" s="1"/>
  <c r="F110" i="4" s="1"/>
  <c r="F111" i="4" s="1"/>
  <c r="F6" i="4"/>
  <c r="F7" i="4" s="1"/>
  <c r="F54" i="4"/>
  <c r="F55" i="4" s="1"/>
  <c r="F56" i="4" s="1"/>
  <c r="F69" i="4"/>
  <c r="F104" i="4"/>
  <c r="F95" i="4"/>
  <c r="F99" i="4"/>
  <c r="H6" i="4"/>
  <c r="D5" i="8" s="1"/>
  <c r="F71" i="4"/>
  <c r="F72" i="4" s="1"/>
  <c r="F73" i="4" s="1"/>
  <c r="F74" i="4" s="1"/>
  <c r="F119" i="4"/>
  <c r="F120" i="4" s="1"/>
  <c r="F121" i="4" s="1"/>
  <c r="F122" i="4" s="1"/>
  <c r="F123" i="4" s="1"/>
  <c r="H7" i="4"/>
  <c r="E5" i="8" s="1"/>
  <c r="F14" i="4"/>
  <c r="F15" i="4" s="1"/>
  <c r="F16" i="4" s="1"/>
  <c r="F17" i="4" s="1"/>
  <c r="F24" i="4"/>
  <c r="F25" i="4" s="1"/>
  <c r="F26" i="4" s="1"/>
  <c r="F27" i="4" s="1"/>
  <c r="F28" i="4" s="1"/>
  <c r="F29" i="4" s="1"/>
  <c r="F30" i="4" s="1"/>
  <c r="F31" i="4" s="1"/>
  <c r="F32" i="4" s="1"/>
  <c r="F33" i="4" s="1"/>
  <c r="F34" i="4" s="1"/>
  <c r="F35" i="4" s="1"/>
  <c r="F36" i="4" s="1"/>
  <c r="F37" i="4" s="1"/>
  <c r="F38" i="4" s="1"/>
  <c r="F39" i="4" s="1"/>
  <c r="F40" i="4" s="1"/>
  <c r="F60" i="4"/>
  <c r="F61" i="4" s="1"/>
  <c r="F62" i="4" s="1"/>
  <c r="F63" i="4" s="1"/>
  <c r="F64" i="4" s="1"/>
  <c r="F65" i="4" s="1"/>
  <c r="F66" i="4" s="1"/>
  <c r="F67" i="4" s="1"/>
  <c r="F84" i="4"/>
  <c r="F48" i="4"/>
  <c r="F96" i="4"/>
  <c r="F97" i="4" s="1"/>
  <c r="F98" i="4" s="1"/>
  <c r="F68" i="4"/>
  <c r="H8" i="4"/>
  <c r="E5" i="9" s="1"/>
  <c r="H4" i="4"/>
  <c r="B5" i="8" s="1"/>
  <c r="F2" i="4"/>
  <c r="F29" i="3"/>
  <c r="F30" i="3" s="1"/>
  <c r="F31" i="3" s="1"/>
  <c r="F96" i="3"/>
  <c r="F97" i="3" s="1"/>
  <c r="F98" i="3" s="1"/>
  <c r="F72" i="3"/>
  <c r="F14" i="3"/>
  <c r="F71" i="3"/>
  <c r="F54" i="3"/>
  <c r="F55" i="3" s="1"/>
  <c r="F68" i="3"/>
  <c r="F69" i="3" s="1"/>
  <c r="F33" i="3"/>
  <c r="F34" i="3" s="1"/>
  <c r="F45" i="3"/>
  <c r="F46" i="3" s="1"/>
  <c r="F47" i="3" s="1"/>
  <c r="F48" i="3" s="1"/>
  <c r="F95" i="3"/>
  <c r="F25" i="3"/>
  <c r="F6" i="3"/>
  <c r="F7" i="3" s="1"/>
  <c r="F39" i="3"/>
  <c r="F40" i="3" s="1"/>
  <c r="F50" i="3"/>
  <c r="F62" i="3"/>
  <c r="F63" i="3" s="1"/>
  <c r="F64" i="3" s="1"/>
  <c r="F119" i="3"/>
  <c r="F120" i="3" s="1"/>
  <c r="F121" i="3" s="1"/>
  <c r="F122" i="3" s="1"/>
  <c r="H7" i="3"/>
  <c r="E4" i="8" s="1"/>
  <c r="H8" i="3"/>
  <c r="E4" i="9" s="1"/>
  <c r="H4" i="3"/>
  <c r="B4" i="8" s="1"/>
  <c r="F2" i="3"/>
  <c r="F20" i="3"/>
  <c r="F21" i="3" s="1"/>
  <c r="F22" i="3" s="1"/>
  <c r="F82" i="3"/>
  <c r="F79" i="3"/>
  <c r="F42" i="3"/>
  <c r="F43" i="3" s="1"/>
  <c r="F92" i="3"/>
  <c r="F99" i="3"/>
  <c r="H6" i="3"/>
  <c r="D4" i="8" s="1"/>
  <c r="F100" i="3"/>
  <c r="F114" i="3"/>
  <c r="F115" i="3" s="1"/>
  <c r="F116" i="3" s="1"/>
  <c r="F117" i="3" s="1"/>
  <c r="F88" i="3"/>
  <c r="F89" i="3" s="1"/>
  <c r="F90" i="3" s="1"/>
  <c r="F35" i="3"/>
  <c r="F36" i="3" s="1"/>
  <c r="F37" i="3" s="1"/>
  <c r="F24" i="3"/>
  <c r="F101" i="3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5" i="3"/>
  <c r="F16" i="3" s="1"/>
  <c r="F17" i="3" s="1"/>
  <c r="F84" i="3"/>
  <c r="H5" i="3"/>
  <c r="C4" i="8" s="1"/>
  <c r="H9" i="2"/>
  <c r="H10" i="2" l="1"/>
  <c r="H11" i="2" s="1"/>
  <c r="G3" i="9" s="1"/>
  <c r="F3" i="9"/>
  <c r="F3" i="1"/>
  <c r="F4" i="1" s="1"/>
  <c r="F5" i="1" s="1"/>
  <c r="F6" i="1" s="1"/>
  <c r="F7" i="1" s="1"/>
  <c r="F28" i="7"/>
  <c r="F29" i="7" s="1"/>
  <c r="F30" i="7" s="1"/>
  <c r="F31" i="7" s="1"/>
  <c r="F3" i="6"/>
  <c r="F3" i="5"/>
  <c r="F4" i="5" s="1"/>
  <c r="F3" i="4"/>
  <c r="F4" i="4" s="1"/>
  <c r="F3" i="3"/>
  <c r="F4" i="3" s="1"/>
  <c r="H9" i="1" l="1"/>
  <c r="H9" i="7"/>
  <c r="F4" i="6"/>
  <c r="H9" i="6" s="1"/>
  <c r="H9" i="5"/>
  <c r="H9" i="4"/>
  <c r="H9" i="3"/>
  <c r="H10" i="6" l="1"/>
  <c r="H11" i="6" s="1"/>
  <c r="G7" i="9" s="1"/>
  <c r="F7" i="9"/>
  <c r="H10" i="5"/>
  <c r="H11" i="5" s="1"/>
  <c r="G6" i="9" s="1"/>
  <c r="F6" i="9"/>
  <c r="H10" i="3"/>
  <c r="H11" i="3" s="1"/>
  <c r="G4" i="9" s="1"/>
  <c r="F4" i="9"/>
  <c r="H10" i="4"/>
  <c r="H11" i="4" s="1"/>
  <c r="G5" i="9" s="1"/>
  <c r="F5" i="9"/>
  <c r="H10" i="1"/>
  <c r="H11" i="1" s="1"/>
  <c r="G2" i="9" s="1"/>
  <c r="F2" i="9"/>
  <c r="H10" i="7"/>
  <c r="H11" i="7" s="1"/>
  <c r="G8" i="9" s="1"/>
  <c r="F8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67686B-31DC-F14F-91D9-70CE56D98395}" name="nsw_rainfall" type="6" refreshedVersion="8" background="1" saveData="1">
    <textPr sourceFile="/Users/aravindhanand/Documents/2026/FIT3179/Assignment 2/FIT3179Assignment2/data/nsw_rainfall.txt" tab="0" space="1" consecutive="1">
      <textFields count="2">
        <textField/>
        <textField/>
      </textFields>
    </textPr>
  </connection>
  <connection id="2" xr16:uid="{A7A12902-3208-704C-9831-0861E5A3B0A2}" name="nt_rainfall" type="6" refreshedVersion="8" background="1" saveData="1">
    <textPr sourceFile="/Users/aravindhanand/Documents/2026/FIT3179/Assignment 2/FIT3179Assignment2/data/nt_rainfall.txt" tab="0" space="1" consecutive="1">
      <textFields count="2">
        <textField/>
        <textField/>
      </textFields>
    </textPr>
  </connection>
  <connection id="3" xr16:uid="{4A389E78-3BCC-0442-9E06-253B48E64B04}" name="qld_rainfall" type="6" refreshedVersion="8" background="1" saveData="1">
    <textPr sourceFile="/Users/aravindhanand/Documents/2026/FIT3179/Assignment 2/FIT3179Assignment2/data/qld_rainfall.txt" tab="0" space="1" consecutive="1">
      <textFields count="2">
        <textField/>
        <textField/>
      </textFields>
    </textPr>
  </connection>
  <connection id="4" xr16:uid="{3CC91FCD-5392-ED4E-801B-6EA6F25CBBD0}" name="sa_rainfall" type="6" refreshedVersion="8" background="1" saveData="1">
    <textPr sourceFile="/Users/aravindhanand/Documents/2026/FIT3179/Assignment 2/FIT3179Assignment2/data/sa_rainfall.txt" tab="0" space="1" consecutive="1">
      <textFields count="2">
        <textField/>
        <textField/>
      </textFields>
    </textPr>
  </connection>
  <connection id="5" xr16:uid="{7CD8D462-1E57-0E4D-AF3A-D96D963DC75C}" name="tas_rainfall" type="6" refreshedVersion="8" background="1" saveData="1">
    <textPr sourceFile="/Users/aravindhanand/Documents/2026/FIT3179/Assignment 2/FIT3179Assignment2/data/tas_rainfall.txt" tab="0" space="1" consecutive="1">
      <textFields count="2">
        <textField/>
        <textField/>
      </textFields>
    </textPr>
  </connection>
  <connection id="6" xr16:uid="{4E6091F4-7B2C-624A-AC5D-E64780DE8A59}" name="vic_rainfall" type="6" refreshedVersion="8" background="1" saveData="1">
    <textPr sourceFile="/Users/aravindhanand/Documents/2026/FIT3179/Assignment 2/FIT3179Assignment2/data/vic_rainfall.txt" tab="0" space="1" consecutive="1">
      <textFields count="2">
        <textField/>
        <textField/>
      </textFields>
    </textPr>
  </connection>
  <connection id="7" xr16:uid="{C75C1B89-7162-A047-A671-263416709487}" name="wa_rainfall" type="6" refreshedVersion="8" background="1" saveData="1">
    <textPr sourceFile="/Users/aravindhanand/Documents/2026/FIT3179/Assignment 2/FIT3179Assignment2/data/wa_rainfall.txt" tab="0" space="1" consecutive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<sst xmlns="http://schemas.openxmlformats.org/spreadsheetml/2006/main" count="138" uniqueCount="40">
  <si>
    <t>Raw_Year</t>
  </si>
  <si>
    <t>Raw_Rainfall</t>
  </si>
  <si>
    <t>Year</t>
  </si>
  <si>
    <t>Rainfall mm</t>
  </si>
  <si>
    <t>Normalised</t>
  </si>
  <si>
    <t>% of normal</t>
  </si>
  <si>
    <t>Dry run</t>
  </si>
  <si>
    <t>Federation</t>
  </si>
  <si>
    <t>WWII</t>
  </si>
  <si>
    <t>Millennium</t>
  </si>
  <si>
    <t>Tinderbox</t>
  </si>
  <si>
    <t>Dry years</t>
  </si>
  <si>
    <t>Longest dry run</t>
  </si>
  <si>
    <t>Run ended in</t>
  </si>
  <si>
    <t>Run years</t>
  </si>
  <si>
    <t>New South Wales</t>
  </si>
  <si>
    <t>Victoria</t>
  </si>
  <si>
    <t>Queensland</t>
  </si>
  <si>
    <t>South Australia</t>
  </si>
  <si>
    <t>Western Australia</t>
  </si>
  <si>
    <t>Tasmania</t>
  </si>
  <si>
    <t>Northern Territory</t>
  </si>
  <si>
    <t>state</t>
  </si>
  <si>
    <t>abbrev</t>
  </si>
  <si>
    <t>lon</t>
  </si>
  <si>
    <t>dry_years</t>
  </si>
  <si>
    <t>longest_run</t>
  </si>
  <si>
    <t>longest_run_years</t>
  </si>
  <si>
    <t>NSW</t>
  </si>
  <si>
    <t>VIC</t>
  </si>
  <si>
    <t>QLD</t>
  </si>
  <si>
    <t>SA</t>
  </si>
  <si>
    <t>WA</t>
  </si>
  <si>
    <t>TAS</t>
  </si>
  <si>
    <t>NT</t>
  </si>
  <si>
    <t>lat</t>
  </si>
  <si>
    <t>federation</t>
  </si>
  <si>
    <t>wwii</t>
  </si>
  <si>
    <t>millennium</t>
  </si>
  <si>
    <t>tinderbox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</si>
</sst>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sw_rainfall_1" connectionId="1" xr16:uid="{DBF8350A-3513-654C-BA49-31FABD27D62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ic_rainfall" connectionId="6" xr16:uid="{561A37E7-F266-E14A-B7B5-648083BC024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ld_rainfall" connectionId="3" xr16:uid="{3027DD09-4179-1D45-8E25-11B538292CBF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a_rainfall" connectionId="4" xr16:uid="{C8230F6E-7295-D84B-9ACF-4F0AFD9721C5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a_rainfall" connectionId="7" xr16:uid="{1BF6DE15-04CE-2F45-8C16-CAC811A5B8DA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as_rainfall" connectionId="5" xr16:uid="{E8659BBA-959C-1D43-A3A4-14846F0E5A62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t_rainfall" connectionId="2" xr16:uid="{704DF81F-FBB2-F24C-82DD-FFCE5AA0C8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926A9-5CE2-9747-A786-60CEA317461B}">
  <dimension ref="A1:E8"/>
  <sheetViews>
    <sheetView tabSelected="1" workbookViewId="0">
      <selection activeCell="B10" sqref="B10"/>
    </sheetView>
  </sheetViews>
  <sheetFormatPr baseColWidth="10" defaultRowHeight="16" x14ac:dyDescent="0.2"/>
  <cols>
    <col min="1" max="1" width="15.6640625" bestFit="1" customWidth="1"/>
  </cols>
  <sheetData>
    <row r="1" spans="1:5" x14ac:dyDescent="0.2">
      <c r="A1" t="s">
        <v>22</v>
      </c>
      <c r="B1" t="s">
        <v>36</v>
      </c>
      <c r="C1" t="s">
        <v>37</v>
      </c>
      <c r="D1" t="s">
        <v>38</v>
      </c>
      <c r="E1" t="s">
        <v>39</v>
      </c>
    </row>
    <row r="2" spans="1:5" x14ac:dyDescent="0.2">
      <c r="A2" t="s">
        <v>15</v>
      </c>
      <c r="B2">
        <f>ROUND(NSW!H4, 1)</f>
        <v>70.599999999999994</v>
      </c>
      <c r="C2">
        <f>ROUND(NSW!H5, 1)</f>
        <v>77.900000000000006</v>
      </c>
      <c r="D2">
        <f>ROUND(NSW!H6, 1)</f>
        <v>90.1</v>
      </c>
      <c r="E2">
        <f>ROUND(NSW!H7, 1)</f>
        <v>62.3</v>
      </c>
    </row>
    <row r="3" spans="1:5" x14ac:dyDescent="0.2">
      <c r="A3" t="s">
        <v>16</v>
      </c>
      <c r="B3">
        <f>ROUND(VIC!H4, 1)</f>
        <v>86.8</v>
      </c>
      <c r="C3">
        <f>ROUND(VIC!H5, 1)</f>
        <v>84.2</v>
      </c>
      <c r="D3">
        <f>ROUND(VIC!H6, 1)</f>
        <v>84.3</v>
      </c>
      <c r="E3">
        <f>ROUND(VIC!H7, 1)</f>
        <v>78.8</v>
      </c>
    </row>
    <row r="4" spans="1:5" x14ac:dyDescent="0.2">
      <c r="A4" t="s">
        <v>17</v>
      </c>
      <c r="B4">
        <f>ROUND(QLD!H4, 1)</f>
        <v>65.099999999999994</v>
      </c>
      <c r="C4">
        <f>ROUND(QLD!H5, 1)</f>
        <v>94.5</v>
      </c>
      <c r="D4">
        <f>ROUND(QLD!H6, 1)</f>
        <v>101.9</v>
      </c>
      <c r="E4">
        <f>ROUND(QLD!H7, 1)</f>
        <v>83.4</v>
      </c>
    </row>
    <row r="5" spans="1:5" x14ac:dyDescent="0.2">
      <c r="A5" t="s">
        <v>18</v>
      </c>
      <c r="B5">
        <f>ROUND(SA!H4, 1)</f>
        <v>78.3</v>
      </c>
      <c r="C5">
        <f>ROUND(SA!H5, 1)</f>
        <v>87.6</v>
      </c>
      <c r="D5">
        <f>ROUND(SA!H6, 1)</f>
        <v>96.4</v>
      </c>
      <c r="E5">
        <f>ROUND(SA!H7, 1)</f>
        <v>71.7</v>
      </c>
    </row>
    <row r="6" spans="1:5" x14ac:dyDescent="0.2">
      <c r="A6" t="s">
        <v>19</v>
      </c>
      <c r="B6">
        <f>ROUND(WA!H4, 1)</f>
        <v>102.3</v>
      </c>
      <c r="C6">
        <f>ROUND(WA!H5, 1)</f>
        <v>92.3</v>
      </c>
      <c r="D6">
        <f>ROUND(WA!H6, 1)</f>
        <v>123.1</v>
      </c>
      <c r="E6">
        <f>ROUND(WA!H7, 1)</f>
        <v>99.6</v>
      </c>
    </row>
    <row r="7" spans="1:5" x14ac:dyDescent="0.2">
      <c r="A7" t="s">
        <v>20</v>
      </c>
      <c r="B7">
        <f>ROUND(TAS!H4, 1)</f>
        <v>89.2</v>
      </c>
      <c r="C7">
        <f>ROUND(TAS!H5, 1)</f>
        <v>97.8</v>
      </c>
      <c r="D7">
        <f>ROUND(TAS!H6, 1)</f>
        <v>94.7</v>
      </c>
      <c r="E7">
        <f>ROUND(TAS!H7, 1)</f>
        <v>93.6</v>
      </c>
    </row>
    <row r="8" spans="1:5" x14ac:dyDescent="0.2">
      <c r="A8" t="s">
        <v>21</v>
      </c>
      <c r="B8">
        <f>ROUND(NT!H4, 1)</f>
        <v>73.3</v>
      </c>
      <c r="C8">
        <f>ROUND(NT!H5, 1)</f>
        <v>95.7</v>
      </c>
      <c r="D8">
        <f>ROUND(NT!H6, 1)</f>
        <v>116.1</v>
      </c>
      <c r="E8">
        <f>ROUND(NT!H7, 1)</f>
        <v>84.5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39FA-9313-9941-98B9-CB8F8E977699}">
  <dimension ref="A1:G8"/>
  <sheetViews>
    <sheetView workbookViewId="0">
      <selection activeCell="D2" sqref="D2"/>
    </sheetView>
  </sheetViews>
  <sheetFormatPr baseColWidth="10" defaultRowHeight="16" x14ac:dyDescent="0.2"/>
  <cols>
    <col min="1" max="2" width="15.6640625" bestFit="1" customWidth="1"/>
    <col min="3" max="3" width="7.1640625" bestFit="1" customWidth="1"/>
    <col min="4" max="4" width="6.83203125" bestFit="1" customWidth="1"/>
  </cols>
  <sheetData>
    <row r="1" spans="1:7" x14ac:dyDescent="0.2">
      <c r="A1" t="s">
        <v>22</v>
      </c>
      <c r="B1" t="s">
        <v>23</v>
      </c>
      <c r="C1" t="s">
        <v>24</v>
      </c>
      <c r="D1" t="s">
        <v>35</v>
      </c>
      <c r="E1" t="s">
        <v>25</v>
      </c>
      <c r="F1" t="s">
        <v>26</v>
      </c>
      <c r="G1" t="s">
        <v>27</v>
      </c>
    </row>
    <row r="2" spans="1:7" x14ac:dyDescent="0.2">
      <c r="A2" t="s">
        <v>15</v>
      </c>
      <c r="B2" t="s">
        <v>28</v>
      </c>
      <c r="C2">
        <v>147.01</v>
      </c>
      <c r="D2">
        <v>-32.18</v>
      </c>
      <c r="E2">
        <f>NSW!H8</f>
        <v>31</v>
      </c>
      <c r="F2">
        <f>NSW!H9</f>
        <v>9</v>
      </c>
      <c r="G2" t="str">
        <f>NSW!H11</f>
        <v>1922-1930</v>
      </c>
    </row>
    <row r="3" spans="1:7" x14ac:dyDescent="0.2">
      <c r="A3" t="s">
        <v>16</v>
      </c>
      <c r="B3" t="s">
        <v>29</v>
      </c>
      <c r="C3">
        <v>143.37</v>
      </c>
      <c r="D3">
        <v>-36.979999999999997</v>
      </c>
      <c r="E3">
        <f>VIC!H8</f>
        <v>19</v>
      </c>
      <c r="F3">
        <f>VIC!H9</f>
        <v>13</v>
      </c>
      <c r="G3" t="str">
        <f>VIC!H11</f>
        <v>1997-2009</v>
      </c>
    </row>
    <row r="4" spans="1:7" x14ac:dyDescent="0.2">
      <c r="A4" t="s">
        <v>17</v>
      </c>
      <c r="B4" t="s">
        <v>30</v>
      </c>
      <c r="C4">
        <v>144.41</v>
      </c>
      <c r="D4">
        <v>-22.78</v>
      </c>
      <c r="E4">
        <f>QLD!H8</f>
        <v>27</v>
      </c>
      <c r="F4">
        <f>QLD!H9</f>
        <v>6</v>
      </c>
      <c r="G4" t="str">
        <f>QLD!H11</f>
        <v>2001-2006</v>
      </c>
    </row>
    <row r="5" spans="1:7" x14ac:dyDescent="0.2">
      <c r="A5" t="s">
        <v>18</v>
      </c>
      <c r="B5" t="s">
        <v>31</v>
      </c>
      <c r="C5">
        <v>135.91999999999999</v>
      </c>
      <c r="D5">
        <v>-29.88</v>
      </c>
      <c r="E5">
        <f>SA!H8</f>
        <v>40</v>
      </c>
      <c r="F5">
        <f>SA!H9</f>
        <v>17</v>
      </c>
      <c r="G5" t="str">
        <f>SA!H11</f>
        <v>1922-1938</v>
      </c>
    </row>
    <row r="6" spans="1:7" x14ac:dyDescent="0.2">
      <c r="A6" t="s">
        <v>19</v>
      </c>
      <c r="B6" t="s">
        <v>32</v>
      </c>
      <c r="C6">
        <v>122.3</v>
      </c>
      <c r="D6">
        <v>-25.76</v>
      </c>
      <c r="E6">
        <f>WA!H8</f>
        <v>20</v>
      </c>
      <c r="F6">
        <f>WA!H9</f>
        <v>7</v>
      </c>
      <c r="G6" t="str">
        <f>WA!H11</f>
        <v>1948-1954</v>
      </c>
    </row>
    <row r="7" spans="1:7" x14ac:dyDescent="0.2">
      <c r="A7" t="s">
        <v>20</v>
      </c>
      <c r="B7" t="s">
        <v>33</v>
      </c>
      <c r="C7">
        <v>146.58000000000001</v>
      </c>
      <c r="D7">
        <v>-42.04</v>
      </c>
      <c r="E7">
        <f>TAS!H8</f>
        <v>6</v>
      </c>
      <c r="F7">
        <f>TAS!H9</f>
        <v>6</v>
      </c>
      <c r="G7" t="str">
        <f>TAS!H11</f>
        <v>1997-2002</v>
      </c>
    </row>
    <row r="8" spans="1:7" x14ac:dyDescent="0.2">
      <c r="A8" t="s">
        <v>21</v>
      </c>
      <c r="B8" t="s">
        <v>34</v>
      </c>
      <c r="C8">
        <v>133.37</v>
      </c>
      <c r="D8">
        <v>-19.48</v>
      </c>
      <c r="E8">
        <f>NT!H8</f>
        <v>30</v>
      </c>
      <c r="F8">
        <f>NT!H9</f>
        <v>9</v>
      </c>
      <c r="G8" t="str">
        <f>NT!H11</f>
        <v>1958-1966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8D072-E4F9-5741-8197-311C4C223E79}">
  <dimension ref="A1:H127"/>
  <sheetViews>
    <sheetView workbookViewId="0">
      <selection activeCell="H12" sqref="H12"/>
    </sheetView>
  </sheetViews>
  <sheetFormatPr baseColWidth="10" defaultRowHeight="16" x14ac:dyDescent="0.2"/>
  <cols>
    <col min="1" max="1" width="15.5" customWidth="1"/>
    <col min="2" max="2" width="11.6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483.03</v>
      </c>
      <c r="C2">
        <f>INT(A2/100000000)</f>
        <v>1900</v>
      </c>
      <c r="D2">
        <f>B2</f>
        <v>483.03</v>
      </c>
      <c r="E2">
        <f>D2 / $G$2 * 100</f>
        <v>86.844816333722292</v>
      </c>
      <c r="F2">
        <f>IF(E2&lt;100, 1, 0)</f>
        <v>1</v>
      </c>
      <c r="G2">
        <f>AVERAGEIFS(D:D, C:C, "&gt;=1961", C:C, "&lt;=1990")</f>
        <v>556.19899999999996</v>
      </c>
    </row>
    <row r="3" spans="1:8" x14ac:dyDescent="0.2">
      <c r="A3">
        <v>190101190112</v>
      </c>
      <c r="B3">
        <v>396.3</v>
      </c>
      <c r="C3">
        <f t="shared" ref="C3:C66" si="0">INT(A3/100000000)</f>
        <v>1901</v>
      </c>
      <c r="D3">
        <f t="shared" ref="D3:D66" si="1">B3</f>
        <v>396.3</v>
      </c>
      <c r="E3">
        <f t="shared" ref="E3:E66" si="2">D3 / $G$2 * 100</f>
        <v>71.251476539871533</v>
      </c>
      <c r="F3">
        <f>IF(E3&lt;100, F2+1, 0)</f>
        <v>2</v>
      </c>
    </row>
    <row r="4" spans="1:8" x14ac:dyDescent="0.2">
      <c r="A4">
        <v>190201190212</v>
      </c>
      <c r="B4">
        <v>299.39999999999998</v>
      </c>
      <c r="C4">
        <f t="shared" si="0"/>
        <v>1902</v>
      </c>
      <c r="D4">
        <f t="shared" si="1"/>
        <v>299.39999999999998</v>
      </c>
      <c r="E4">
        <f t="shared" si="2"/>
        <v>53.829654494164856</v>
      </c>
      <c r="F4">
        <f t="shared" ref="F4:F67" si="3">IF(E4&lt;100, F3+1, 0)</f>
        <v>3</v>
      </c>
      <c r="G4" t="s">
        <v>7</v>
      </c>
      <c r="H4">
        <f>AVERAGEIFS(E:E, C:C, "&gt;=1900", C:C, "&lt;=1902")</f>
        <v>70.64198245591956</v>
      </c>
    </row>
    <row r="5" spans="1:8" x14ac:dyDescent="0.2">
      <c r="A5">
        <v>190301190312</v>
      </c>
      <c r="B5">
        <v>541.69000000000005</v>
      </c>
      <c r="C5">
        <f t="shared" si="0"/>
        <v>1903</v>
      </c>
      <c r="D5">
        <f t="shared" si="1"/>
        <v>541.69000000000005</v>
      </c>
      <c r="E5">
        <f t="shared" si="2"/>
        <v>97.391401279038632</v>
      </c>
      <c r="F5">
        <f t="shared" si="3"/>
        <v>4</v>
      </c>
      <c r="G5" t="s">
        <v>8</v>
      </c>
      <c r="H5">
        <f>AVERAGEIFS(E:E, C:C, "&gt;=1937", C:C, "&lt;=1945")</f>
        <v>77.854628768959799</v>
      </c>
    </row>
    <row r="6" spans="1:8" x14ac:dyDescent="0.2">
      <c r="A6">
        <v>190401190412</v>
      </c>
      <c r="B6">
        <v>471.57</v>
      </c>
      <c r="C6">
        <f t="shared" si="0"/>
        <v>1904</v>
      </c>
      <c r="D6">
        <f t="shared" si="1"/>
        <v>471.57</v>
      </c>
      <c r="E6">
        <f t="shared" si="2"/>
        <v>84.784402704787325</v>
      </c>
      <c r="F6">
        <f t="shared" si="3"/>
        <v>5</v>
      </c>
      <c r="G6" t="s">
        <v>9</v>
      </c>
      <c r="H6">
        <f>AVERAGEIFS(E:E, C:C, "&gt;=1997", C:C, "&lt;=2009")</f>
        <v>90.062535724969493</v>
      </c>
    </row>
    <row r="7" spans="1:8" x14ac:dyDescent="0.2">
      <c r="A7">
        <v>190501190512</v>
      </c>
      <c r="B7">
        <v>445.33</v>
      </c>
      <c r="C7">
        <f t="shared" si="0"/>
        <v>1905</v>
      </c>
      <c r="D7">
        <f t="shared" si="1"/>
        <v>445.33</v>
      </c>
      <c r="E7">
        <f t="shared" si="2"/>
        <v>80.066666786527847</v>
      </c>
      <c r="F7">
        <f t="shared" si="3"/>
        <v>6</v>
      </c>
      <c r="G7" t="s">
        <v>10</v>
      </c>
      <c r="H7">
        <f>AVERAGEIFS(E:E, C:C, "&gt;=2017", C:C, "&lt;=2019")</f>
        <v>62.303839692867719</v>
      </c>
    </row>
    <row r="8" spans="1:8" x14ac:dyDescent="0.2">
      <c r="A8">
        <v>190601190612</v>
      </c>
      <c r="B8">
        <v>573.64</v>
      </c>
      <c r="C8">
        <f t="shared" si="0"/>
        <v>1906</v>
      </c>
      <c r="D8">
        <f t="shared" si="1"/>
        <v>573.64</v>
      </c>
      <c r="E8">
        <f t="shared" si="2"/>
        <v>103.13574817646203</v>
      </c>
      <c r="F8">
        <f t="shared" si="3"/>
        <v>0</v>
      </c>
      <c r="G8" t="s">
        <v>11</v>
      </c>
      <c r="H8">
        <f>COUNTIF(E:E, "&lt;80")</f>
        <v>31</v>
      </c>
    </row>
    <row r="9" spans="1:8" x14ac:dyDescent="0.2">
      <c r="A9">
        <v>190701190712</v>
      </c>
      <c r="B9">
        <v>462.46</v>
      </c>
      <c r="C9">
        <f t="shared" si="0"/>
        <v>1907</v>
      </c>
      <c r="D9">
        <f t="shared" si="1"/>
        <v>462.46</v>
      </c>
      <c r="E9">
        <f t="shared" si="2"/>
        <v>83.146499724019634</v>
      </c>
      <c r="F9">
        <f t="shared" si="3"/>
        <v>1</v>
      </c>
      <c r="G9" t="s">
        <v>12</v>
      </c>
      <c r="H9">
        <f>MAX(F:F)</f>
        <v>9</v>
      </c>
    </row>
    <row r="10" spans="1:8" x14ac:dyDescent="0.2">
      <c r="A10">
        <v>190801190812</v>
      </c>
      <c r="B10">
        <v>471.63</v>
      </c>
      <c r="C10">
        <f t="shared" si="0"/>
        <v>1908</v>
      </c>
      <c r="D10">
        <f t="shared" si="1"/>
        <v>471.63</v>
      </c>
      <c r="E10">
        <f t="shared" si="2"/>
        <v>84.795190210697982</v>
      </c>
      <c r="F10">
        <f t="shared" si="3"/>
        <v>2</v>
      </c>
      <c r="G10" t="s">
        <v>13</v>
      </c>
      <c r="H10">
        <f>INDEX(C:C, MATCH(H9, F:F, 0))</f>
        <v>1930</v>
      </c>
    </row>
    <row r="11" spans="1:8" x14ac:dyDescent="0.2">
      <c r="A11">
        <v>190901190912</v>
      </c>
      <c r="B11">
        <v>476.1</v>
      </c>
      <c r="C11">
        <f t="shared" si="0"/>
        <v>1909</v>
      </c>
      <c r="D11">
        <f t="shared" si="1"/>
        <v>476.1</v>
      </c>
      <c r="E11">
        <f t="shared" si="2"/>
        <v>85.598859401041722</v>
      </c>
      <c r="F11">
        <f t="shared" si="3"/>
        <v>3</v>
      </c>
      <c r="G11" t="s">
        <v>14</v>
      </c>
      <c r="H11" t="str">
        <f>(H10-H9+1) &amp; "-" &amp; H10</f>
        <v>1922-1930</v>
      </c>
    </row>
    <row r="12" spans="1:8" x14ac:dyDescent="0.2">
      <c r="A12">
        <v>191001191012</v>
      </c>
      <c r="B12">
        <v>514.57000000000005</v>
      </c>
      <c r="C12">
        <f t="shared" si="0"/>
        <v>1910</v>
      </c>
      <c r="D12">
        <f t="shared" si="1"/>
        <v>514.57000000000005</v>
      </c>
      <c r="E12">
        <f t="shared" si="2"/>
        <v>92.515448607422897</v>
      </c>
      <c r="F12">
        <f t="shared" si="3"/>
        <v>4</v>
      </c>
    </row>
    <row r="13" spans="1:8" x14ac:dyDescent="0.2">
      <c r="A13">
        <v>191101191112</v>
      </c>
      <c r="B13">
        <v>587.63</v>
      </c>
      <c r="C13">
        <f t="shared" si="0"/>
        <v>1911</v>
      </c>
      <c r="D13">
        <f t="shared" si="1"/>
        <v>587.63</v>
      </c>
      <c r="E13">
        <f t="shared" si="2"/>
        <v>105.65103497129624</v>
      </c>
      <c r="F13">
        <f t="shared" si="3"/>
        <v>0</v>
      </c>
    </row>
    <row r="14" spans="1:8" x14ac:dyDescent="0.2">
      <c r="A14">
        <v>191201191212</v>
      </c>
      <c r="B14">
        <v>431.09</v>
      </c>
      <c r="C14">
        <f t="shared" si="0"/>
        <v>1912</v>
      </c>
      <c r="D14">
        <f t="shared" si="1"/>
        <v>431.09</v>
      </c>
      <c r="E14">
        <f t="shared" si="2"/>
        <v>77.506432050399226</v>
      </c>
      <c r="F14">
        <f t="shared" si="3"/>
        <v>1</v>
      </c>
    </row>
    <row r="15" spans="1:8" x14ac:dyDescent="0.2">
      <c r="A15">
        <v>191301191312</v>
      </c>
      <c r="B15">
        <v>491.14</v>
      </c>
      <c r="C15">
        <f t="shared" si="0"/>
        <v>1913</v>
      </c>
      <c r="D15">
        <f t="shared" si="1"/>
        <v>491.14</v>
      </c>
      <c r="E15">
        <f t="shared" si="2"/>
        <v>88.302927549312386</v>
      </c>
      <c r="F15">
        <f t="shared" si="3"/>
        <v>2</v>
      </c>
    </row>
    <row r="16" spans="1:8" x14ac:dyDescent="0.2">
      <c r="A16">
        <v>191401191412</v>
      </c>
      <c r="B16">
        <v>462.46</v>
      </c>
      <c r="C16">
        <f t="shared" si="0"/>
        <v>1914</v>
      </c>
      <c r="D16">
        <f t="shared" si="1"/>
        <v>462.46</v>
      </c>
      <c r="E16">
        <f t="shared" si="2"/>
        <v>83.146499724019634</v>
      </c>
      <c r="F16">
        <f t="shared" si="3"/>
        <v>3</v>
      </c>
    </row>
    <row r="17" spans="1:6" x14ac:dyDescent="0.2">
      <c r="A17">
        <v>191501191512</v>
      </c>
      <c r="B17">
        <v>362.3</v>
      </c>
      <c r="C17">
        <f t="shared" si="0"/>
        <v>1915</v>
      </c>
      <c r="D17">
        <f t="shared" si="1"/>
        <v>362.3</v>
      </c>
      <c r="E17">
        <f t="shared" si="2"/>
        <v>65.138556523834097</v>
      </c>
      <c r="F17">
        <f t="shared" si="3"/>
        <v>4</v>
      </c>
    </row>
    <row r="18" spans="1:6" x14ac:dyDescent="0.2">
      <c r="A18">
        <v>191601191612</v>
      </c>
      <c r="B18">
        <v>644.86</v>
      </c>
      <c r="C18">
        <f t="shared" si="0"/>
        <v>1916</v>
      </c>
      <c r="D18">
        <f t="shared" si="1"/>
        <v>644.86</v>
      </c>
      <c r="E18">
        <f t="shared" si="2"/>
        <v>115.94051769240868</v>
      </c>
      <c r="F18">
        <f t="shared" si="3"/>
        <v>0</v>
      </c>
    </row>
    <row r="19" spans="1:6" x14ac:dyDescent="0.2">
      <c r="A19">
        <v>191701191712</v>
      </c>
      <c r="B19">
        <v>624.03</v>
      </c>
      <c r="C19">
        <f t="shared" si="0"/>
        <v>1917</v>
      </c>
      <c r="D19">
        <f t="shared" si="1"/>
        <v>624.03</v>
      </c>
      <c r="E19">
        <f t="shared" si="2"/>
        <v>112.19545522375984</v>
      </c>
      <c r="F19">
        <f t="shared" si="3"/>
        <v>0</v>
      </c>
    </row>
    <row r="20" spans="1:6" x14ac:dyDescent="0.2">
      <c r="A20">
        <v>191801191812</v>
      </c>
      <c r="B20">
        <v>389.99</v>
      </c>
      <c r="C20">
        <f t="shared" si="0"/>
        <v>1918</v>
      </c>
      <c r="D20">
        <f t="shared" si="1"/>
        <v>389.99</v>
      </c>
      <c r="E20">
        <f t="shared" si="2"/>
        <v>70.116990501601052</v>
      </c>
      <c r="F20">
        <f t="shared" si="3"/>
        <v>1</v>
      </c>
    </row>
    <row r="21" spans="1:6" x14ac:dyDescent="0.2">
      <c r="A21">
        <v>191901191912</v>
      </c>
      <c r="B21">
        <v>351.97</v>
      </c>
      <c r="C21">
        <f t="shared" si="0"/>
        <v>1919</v>
      </c>
      <c r="D21">
        <f t="shared" si="1"/>
        <v>351.97</v>
      </c>
      <c r="E21">
        <f t="shared" si="2"/>
        <v>63.281307589549797</v>
      </c>
      <c r="F21">
        <f t="shared" si="3"/>
        <v>2</v>
      </c>
    </row>
    <row r="22" spans="1:6" x14ac:dyDescent="0.2">
      <c r="A22">
        <v>192001192012</v>
      </c>
      <c r="B22">
        <v>577.32000000000005</v>
      </c>
      <c r="C22">
        <f t="shared" si="0"/>
        <v>1920</v>
      </c>
      <c r="D22">
        <f t="shared" si="1"/>
        <v>577.32000000000005</v>
      </c>
      <c r="E22">
        <f t="shared" si="2"/>
        <v>103.79738187231551</v>
      </c>
      <c r="F22">
        <f t="shared" si="3"/>
        <v>0</v>
      </c>
    </row>
    <row r="23" spans="1:6" x14ac:dyDescent="0.2">
      <c r="A23">
        <v>192101192112</v>
      </c>
      <c r="B23">
        <v>676.18</v>
      </c>
      <c r="C23">
        <f t="shared" si="0"/>
        <v>1921</v>
      </c>
      <c r="D23">
        <f t="shared" si="1"/>
        <v>676.18</v>
      </c>
      <c r="E23">
        <f t="shared" si="2"/>
        <v>121.5715957777702</v>
      </c>
      <c r="F23">
        <f t="shared" si="3"/>
        <v>0</v>
      </c>
    </row>
    <row r="24" spans="1:6" x14ac:dyDescent="0.2">
      <c r="A24">
        <v>192201192212</v>
      </c>
      <c r="B24">
        <v>388.87</v>
      </c>
      <c r="C24">
        <f t="shared" si="0"/>
        <v>1922</v>
      </c>
      <c r="D24">
        <f t="shared" si="1"/>
        <v>388.87</v>
      </c>
      <c r="E24">
        <f t="shared" si="2"/>
        <v>69.91562372460217</v>
      </c>
      <c r="F24">
        <f t="shared" si="3"/>
        <v>1</v>
      </c>
    </row>
    <row r="25" spans="1:6" x14ac:dyDescent="0.2">
      <c r="A25">
        <v>192301192312</v>
      </c>
      <c r="B25">
        <v>415.44</v>
      </c>
      <c r="C25">
        <f t="shared" si="0"/>
        <v>1923</v>
      </c>
      <c r="D25">
        <f t="shared" si="1"/>
        <v>415.44</v>
      </c>
      <c r="E25">
        <f t="shared" si="2"/>
        <v>74.692690925370243</v>
      </c>
      <c r="F25">
        <f t="shared" si="3"/>
        <v>2</v>
      </c>
    </row>
    <row r="26" spans="1:6" x14ac:dyDescent="0.2">
      <c r="A26">
        <v>192401192412</v>
      </c>
      <c r="B26">
        <v>533.86</v>
      </c>
      <c r="C26">
        <f t="shared" si="0"/>
        <v>1924</v>
      </c>
      <c r="D26">
        <f t="shared" si="1"/>
        <v>533.86</v>
      </c>
      <c r="E26">
        <f t="shared" si="2"/>
        <v>95.983631757698234</v>
      </c>
      <c r="F26">
        <f t="shared" si="3"/>
        <v>3</v>
      </c>
    </row>
    <row r="27" spans="1:6" x14ac:dyDescent="0.2">
      <c r="A27">
        <v>192501192512</v>
      </c>
      <c r="B27">
        <v>505.86</v>
      </c>
      <c r="C27">
        <f t="shared" si="0"/>
        <v>1925</v>
      </c>
      <c r="D27">
        <f t="shared" si="1"/>
        <v>505.86</v>
      </c>
      <c r="E27">
        <f t="shared" si="2"/>
        <v>90.949462332726256</v>
      </c>
      <c r="F27">
        <f t="shared" si="3"/>
        <v>4</v>
      </c>
    </row>
    <row r="28" spans="1:6" x14ac:dyDescent="0.2">
      <c r="A28">
        <v>192601192612</v>
      </c>
      <c r="B28">
        <v>497.56</v>
      </c>
      <c r="C28">
        <f t="shared" si="0"/>
        <v>1926</v>
      </c>
      <c r="D28">
        <f t="shared" si="1"/>
        <v>497.56</v>
      </c>
      <c r="E28">
        <f t="shared" si="2"/>
        <v>89.457190681752394</v>
      </c>
      <c r="F28">
        <f t="shared" si="3"/>
        <v>5</v>
      </c>
    </row>
    <row r="29" spans="1:6" x14ac:dyDescent="0.2">
      <c r="A29">
        <v>192701192712</v>
      </c>
      <c r="B29">
        <v>393.31</v>
      </c>
      <c r="C29">
        <f t="shared" si="0"/>
        <v>1927</v>
      </c>
      <c r="D29">
        <f t="shared" si="1"/>
        <v>393.31</v>
      </c>
      <c r="E29">
        <f t="shared" si="2"/>
        <v>70.713899161990597</v>
      </c>
      <c r="F29">
        <f t="shared" si="3"/>
        <v>6</v>
      </c>
    </row>
    <row r="30" spans="1:6" x14ac:dyDescent="0.2">
      <c r="A30">
        <v>192801192812</v>
      </c>
      <c r="B30">
        <v>499.14</v>
      </c>
      <c r="C30">
        <f t="shared" si="0"/>
        <v>1928</v>
      </c>
      <c r="D30">
        <f t="shared" si="1"/>
        <v>499.14</v>
      </c>
      <c r="E30">
        <f t="shared" si="2"/>
        <v>89.741261670732968</v>
      </c>
      <c r="F30">
        <f t="shared" si="3"/>
        <v>7</v>
      </c>
    </row>
    <row r="31" spans="1:6" x14ac:dyDescent="0.2">
      <c r="A31">
        <v>192901192912</v>
      </c>
      <c r="B31">
        <v>431.12</v>
      </c>
      <c r="C31">
        <f t="shared" si="0"/>
        <v>1929</v>
      </c>
      <c r="D31">
        <f t="shared" si="1"/>
        <v>431.12</v>
      </c>
      <c r="E31">
        <f t="shared" si="2"/>
        <v>77.511825803354554</v>
      </c>
      <c r="F31">
        <f t="shared" si="3"/>
        <v>8</v>
      </c>
    </row>
    <row r="32" spans="1:6" x14ac:dyDescent="0.2">
      <c r="A32">
        <v>193001193012</v>
      </c>
      <c r="B32">
        <v>523.77</v>
      </c>
      <c r="C32">
        <f t="shared" si="0"/>
        <v>1930</v>
      </c>
      <c r="D32">
        <f t="shared" si="1"/>
        <v>523.77</v>
      </c>
      <c r="E32">
        <f t="shared" si="2"/>
        <v>94.169532847056544</v>
      </c>
      <c r="F32">
        <f t="shared" si="3"/>
        <v>9</v>
      </c>
    </row>
    <row r="33" spans="1:6" x14ac:dyDescent="0.2">
      <c r="A33">
        <v>193101193112</v>
      </c>
      <c r="B33">
        <v>618.35</v>
      </c>
      <c r="C33">
        <f t="shared" si="0"/>
        <v>1931</v>
      </c>
      <c r="D33">
        <f t="shared" si="1"/>
        <v>618.35</v>
      </c>
      <c r="E33">
        <f t="shared" si="2"/>
        <v>111.17423799755124</v>
      </c>
      <c r="F33">
        <f t="shared" si="3"/>
        <v>0</v>
      </c>
    </row>
    <row r="34" spans="1:6" x14ac:dyDescent="0.2">
      <c r="A34">
        <v>193201193212</v>
      </c>
      <c r="B34">
        <v>448.74</v>
      </c>
      <c r="C34">
        <f t="shared" si="0"/>
        <v>1932</v>
      </c>
      <c r="D34">
        <f t="shared" si="1"/>
        <v>448.74</v>
      </c>
      <c r="E34">
        <f t="shared" si="2"/>
        <v>80.679756705783362</v>
      </c>
      <c r="F34">
        <f t="shared" si="3"/>
        <v>1</v>
      </c>
    </row>
    <row r="35" spans="1:6" x14ac:dyDescent="0.2">
      <c r="A35">
        <v>193301193312</v>
      </c>
      <c r="B35">
        <v>535.5</v>
      </c>
      <c r="C35">
        <f t="shared" si="0"/>
        <v>1933</v>
      </c>
      <c r="D35">
        <f t="shared" si="1"/>
        <v>535.5</v>
      </c>
      <c r="E35">
        <f t="shared" si="2"/>
        <v>96.278490252589449</v>
      </c>
      <c r="F35">
        <f t="shared" si="3"/>
        <v>2</v>
      </c>
    </row>
    <row r="36" spans="1:6" x14ac:dyDescent="0.2">
      <c r="A36">
        <v>193401193412</v>
      </c>
      <c r="B36">
        <v>603.12</v>
      </c>
      <c r="C36">
        <f t="shared" si="0"/>
        <v>1934</v>
      </c>
      <c r="D36">
        <f t="shared" si="1"/>
        <v>603.12</v>
      </c>
      <c r="E36">
        <f t="shared" si="2"/>
        <v>108.43600941389684</v>
      </c>
      <c r="F36">
        <f t="shared" si="3"/>
        <v>0</v>
      </c>
    </row>
    <row r="37" spans="1:6" x14ac:dyDescent="0.2">
      <c r="A37">
        <v>193501193512</v>
      </c>
      <c r="B37">
        <v>385.11</v>
      </c>
      <c r="C37">
        <f t="shared" si="0"/>
        <v>1935</v>
      </c>
      <c r="D37">
        <f t="shared" si="1"/>
        <v>385.11</v>
      </c>
      <c r="E37">
        <f t="shared" si="2"/>
        <v>69.239606687534504</v>
      </c>
      <c r="F37">
        <f t="shared" si="3"/>
        <v>1</v>
      </c>
    </row>
    <row r="38" spans="1:6" x14ac:dyDescent="0.2">
      <c r="A38">
        <v>193601193612</v>
      </c>
      <c r="B38">
        <v>545.74</v>
      </c>
      <c r="C38">
        <f t="shared" si="0"/>
        <v>1936</v>
      </c>
      <c r="D38">
        <f t="shared" si="1"/>
        <v>545.74</v>
      </c>
      <c r="E38">
        <f t="shared" si="2"/>
        <v>98.119557928007794</v>
      </c>
      <c r="F38">
        <f t="shared" si="3"/>
        <v>2</v>
      </c>
    </row>
    <row r="39" spans="1:6" x14ac:dyDescent="0.2">
      <c r="A39">
        <v>193701193712</v>
      </c>
      <c r="B39">
        <v>433</v>
      </c>
      <c r="C39">
        <f t="shared" si="0"/>
        <v>1937</v>
      </c>
      <c r="D39">
        <f t="shared" si="1"/>
        <v>433</v>
      </c>
      <c r="E39">
        <f t="shared" si="2"/>
        <v>77.849834321888395</v>
      </c>
      <c r="F39">
        <f t="shared" si="3"/>
        <v>3</v>
      </c>
    </row>
    <row r="40" spans="1:6" x14ac:dyDescent="0.2">
      <c r="A40">
        <v>193801193812</v>
      </c>
      <c r="B40">
        <v>393.79</v>
      </c>
      <c r="C40">
        <f t="shared" si="0"/>
        <v>1938</v>
      </c>
      <c r="D40">
        <f t="shared" si="1"/>
        <v>393.79</v>
      </c>
      <c r="E40">
        <f t="shared" si="2"/>
        <v>70.800199209275831</v>
      </c>
      <c r="F40">
        <f t="shared" si="3"/>
        <v>4</v>
      </c>
    </row>
    <row r="41" spans="1:6" x14ac:dyDescent="0.2">
      <c r="A41">
        <v>193901193912</v>
      </c>
      <c r="B41">
        <v>573.64</v>
      </c>
      <c r="C41">
        <f t="shared" si="0"/>
        <v>1939</v>
      </c>
      <c r="D41">
        <f t="shared" si="1"/>
        <v>573.64</v>
      </c>
      <c r="E41">
        <f t="shared" si="2"/>
        <v>103.13574817646203</v>
      </c>
      <c r="F41">
        <f t="shared" si="3"/>
        <v>0</v>
      </c>
    </row>
    <row r="42" spans="1:6" x14ac:dyDescent="0.2">
      <c r="A42">
        <v>194001194012</v>
      </c>
      <c r="B42">
        <v>305.14999999999998</v>
      </c>
      <c r="C42">
        <f t="shared" si="0"/>
        <v>1940</v>
      </c>
      <c r="D42">
        <f t="shared" si="1"/>
        <v>305.14999999999998</v>
      </c>
      <c r="E42">
        <f t="shared" si="2"/>
        <v>54.863457143935889</v>
      </c>
      <c r="F42">
        <f t="shared" si="3"/>
        <v>1</v>
      </c>
    </row>
    <row r="43" spans="1:6" x14ac:dyDescent="0.2">
      <c r="A43">
        <v>194101194112</v>
      </c>
      <c r="B43">
        <v>432.83</v>
      </c>
      <c r="C43">
        <f t="shared" si="0"/>
        <v>1941</v>
      </c>
      <c r="D43">
        <f t="shared" si="1"/>
        <v>432.83</v>
      </c>
      <c r="E43">
        <f t="shared" si="2"/>
        <v>77.819269721808197</v>
      </c>
      <c r="F43">
        <f t="shared" si="3"/>
        <v>2</v>
      </c>
    </row>
    <row r="44" spans="1:6" x14ac:dyDescent="0.2">
      <c r="A44">
        <v>194201194212</v>
      </c>
      <c r="B44">
        <v>537.57000000000005</v>
      </c>
      <c r="C44">
        <f t="shared" si="0"/>
        <v>1942</v>
      </c>
      <c r="D44">
        <f t="shared" si="1"/>
        <v>537.57000000000005</v>
      </c>
      <c r="E44">
        <f t="shared" si="2"/>
        <v>96.650659206507044</v>
      </c>
      <c r="F44">
        <f t="shared" si="3"/>
        <v>3</v>
      </c>
    </row>
    <row r="45" spans="1:6" x14ac:dyDescent="0.2">
      <c r="A45">
        <v>194301194312</v>
      </c>
      <c r="B45">
        <v>443.14</v>
      </c>
      <c r="C45">
        <f t="shared" si="0"/>
        <v>1943</v>
      </c>
      <c r="D45">
        <f t="shared" si="1"/>
        <v>443.14</v>
      </c>
      <c r="E45">
        <f t="shared" si="2"/>
        <v>79.672922820788969</v>
      </c>
      <c r="F45">
        <f t="shared" si="3"/>
        <v>4</v>
      </c>
    </row>
    <row r="46" spans="1:6" x14ac:dyDescent="0.2">
      <c r="A46">
        <v>194401194412</v>
      </c>
      <c r="B46">
        <v>309.64</v>
      </c>
      <c r="C46">
        <f t="shared" si="0"/>
        <v>1944</v>
      </c>
      <c r="D46">
        <f t="shared" si="1"/>
        <v>309.64</v>
      </c>
      <c r="E46">
        <f t="shared" si="2"/>
        <v>55.670722169583186</v>
      </c>
      <c r="F46">
        <f t="shared" si="3"/>
        <v>5</v>
      </c>
    </row>
    <row r="47" spans="1:6" x14ac:dyDescent="0.2">
      <c r="A47">
        <v>194501194512</v>
      </c>
      <c r="B47">
        <v>468.48</v>
      </c>
      <c r="C47">
        <f t="shared" si="0"/>
        <v>1945</v>
      </c>
      <c r="D47">
        <f t="shared" si="1"/>
        <v>468.48</v>
      </c>
      <c r="E47">
        <f t="shared" si="2"/>
        <v>84.22884615038862</v>
      </c>
      <c r="F47">
        <f t="shared" si="3"/>
        <v>6</v>
      </c>
    </row>
    <row r="48" spans="1:6" x14ac:dyDescent="0.2">
      <c r="A48">
        <v>194601194612</v>
      </c>
      <c r="B48">
        <v>433.8</v>
      </c>
      <c r="C48">
        <f t="shared" si="0"/>
        <v>1946</v>
      </c>
      <c r="D48">
        <f t="shared" si="1"/>
        <v>433.8</v>
      </c>
      <c r="E48">
        <f t="shared" si="2"/>
        <v>77.993667734030453</v>
      </c>
      <c r="F48">
        <f t="shared" si="3"/>
        <v>7</v>
      </c>
    </row>
    <row r="49" spans="1:6" x14ac:dyDescent="0.2">
      <c r="A49">
        <v>194701194712</v>
      </c>
      <c r="B49">
        <v>625.74</v>
      </c>
      <c r="C49">
        <f t="shared" si="0"/>
        <v>1947</v>
      </c>
      <c r="D49">
        <f t="shared" si="1"/>
        <v>625.74</v>
      </c>
      <c r="E49">
        <f t="shared" si="2"/>
        <v>112.50289914221349</v>
      </c>
      <c r="F49">
        <f t="shared" si="3"/>
        <v>0</v>
      </c>
    </row>
    <row r="50" spans="1:6" x14ac:dyDescent="0.2">
      <c r="A50">
        <v>194801194812</v>
      </c>
      <c r="B50">
        <v>491.7</v>
      </c>
      <c r="C50">
        <f t="shared" si="0"/>
        <v>1948</v>
      </c>
      <c r="D50">
        <f t="shared" si="1"/>
        <v>491.7</v>
      </c>
      <c r="E50">
        <f t="shared" si="2"/>
        <v>88.403610937811834</v>
      </c>
      <c r="F50">
        <f t="shared" si="3"/>
        <v>1</v>
      </c>
    </row>
    <row r="51" spans="1:6" x14ac:dyDescent="0.2">
      <c r="A51">
        <v>194901194912</v>
      </c>
      <c r="B51">
        <v>624</v>
      </c>
      <c r="C51">
        <f t="shared" si="0"/>
        <v>1949</v>
      </c>
      <c r="D51">
        <f t="shared" si="1"/>
        <v>624</v>
      </c>
      <c r="E51">
        <f t="shared" si="2"/>
        <v>112.19006147080452</v>
      </c>
      <c r="F51">
        <f t="shared" si="3"/>
        <v>0</v>
      </c>
    </row>
    <row r="52" spans="1:6" x14ac:dyDescent="0.2">
      <c r="A52">
        <v>195001195012</v>
      </c>
      <c r="B52">
        <v>916.51</v>
      </c>
      <c r="C52">
        <f t="shared" si="0"/>
        <v>1950</v>
      </c>
      <c r="D52">
        <f t="shared" si="1"/>
        <v>916.51</v>
      </c>
      <c r="E52">
        <f t="shared" si="2"/>
        <v>164.78095070289592</v>
      </c>
      <c r="F52">
        <f t="shared" si="3"/>
        <v>0</v>
      </c>
    </row>
    <row r="53" spans="1:6" x14ac:dyDescent="0.2">
      <c r="A53">
        <v>195101195112</v>
      </c>
      <c r="B53">
        <v>456.85</v>
      </c>
      <c r="C53">
        <f t="shared" si="0"/>
        <v>1951</v>
      </c>
      <c r="D53">
        <f t="shared" si="1"/>
        <v>456.85</v>
      </c>
      <c r="E53">
        <f t="shared" si="2"/>
        <v>82.13786792137347</v>
      </c>
      <c r="F53">
        <f t="shared" si="3"/>
        <v>1</v>
      </c>
    </row>
    <row r="54" spans="1:6" x14ac:dyDescent="0.2">
      <c r="A54">
        <v>195201195212</v>
      </c>
      <c r="B54">
        <v>618.62</v>
      </c>
      <c r="C54">
        <f t="shared" si="0"/>
        <v>1952</v>
      </c>
      <c r="D54">
        <f t="shared" si="1"/>
        <v>618.62</v>
      </c>
      <c r="E54">
        <f t="shared" si="2"/>
        <v>111.2227817741492</v>
      </c>
      <c r="F54">
        <f t="shared" si="3"/>
        <v>0</v>
      </c>
    </row>
    <row r="55" spans="1:6" x14ac:dyDescent="0.2">
      <c r="A55">
        <v>195301195312</v>
      </c>
      <c r="B55">
        <v>446.02</v>
      </c>
      <c r="C55">
        <f t="shared" si="0"/>
        <v>1953</v>
      </c>
      <c r="D55">
        <f t="shared" si="1"/>
        <v>446.02</v>
      </c>
      <c r="E55">
        <f t="shared" si="2"/>
        <v>80.190723104500378</v>
      </c>
      <c r="F55">
        <f t="shared" si="3"/>
        <v>1</v>
      </c>
    </row>
    <row r="56" spans="1:6" x14ac:dyDescent="0.2">
      <c r="A56">
        <v>195401195412</v>
      </c>
      <c r="B56">
        <v>566.86</v>
      </c>
      <c r="C56">
        <f t="shared" si="0"/>
        <v>1954</v>
      </c>
      <c r="D56">
        <f t="shared" si="1"/>
        <v>566.86</v>
      </c>
      <c r="E56">
        <f t="shared" si="2"/>
        <v>101.9167600085581</v>
      </c>
      <c r="F56">
        <f t="shared" si="3"/>
        <v>0</v>
      </c>
    </row>
    <row r="57" spans="1:6" x14ac:dyDescent="0.2">
      <c r="A57">
        <v>195501195512</v>
      </c>
      <c r="B57">
        <v>708.87</v>
      </c>
      <c r="C57">
        <f t="shared" si="0"/>
        <v>1955</v>
      </c>
      <c r="D57">
        <f t="shared" si="1"/>
        <v>708.87</v>
      </c>
      <c r="E57">
        <f t="shared" si="2"/>
        <v>127.44898858142501</v>
      </c>
      <c r="F57">
        <f t="shared" si="3"/>
        <v>0</v>
      </c>
    </row>
    <row r="58" spans="1:6" x14ac:dyDescent="0.2">
      <c r="A58">
        <v>195601195612</v>
      </c>
      <c r="B58">
        <v>857.47</v>
      </c>
      <c r="C58">
        <f t="shared" si="0"/>
        <v>1956</v>
      </c>
      <c r="D58">
        <f t="shared" si="1"/>
        <v>857.47</v>
      </c>
      <c r="E58">
        <f t="shared" si="2"/>
        <v>154.1660448868121</v>
      </c>
      <c r="F58">
        <f t="shared" si="3"/>
        <v>0</v>
      </c>
    </row>
    <row r="59" spans="1:6" x14ac:dyDescent="0.2">
      <c r="A59">
        <v>195701195712</v>
      </c>
      <c r="B59">
        <v>335.14</v>
      </c>
      <c r="C59">
        <f t="shared" si="0"/>
        <v>1957</v>
      </c>
      <c r="D59">
        <f t="shared" si="1"/>
        <v>335.14</v>
      </c>
      <c r="E59">
        <f t="shared" si="2"/>
        <v>60.255412181611256</v>
      </c>
      <c r="F59">
        <f t="shared" si="3"/>
        <v>1</v>
      </c>
    </row>
    <row r="60" spans="1:6" x14ac:dyDescent="0.2">
      <c r="A60">
        <v>195801195812</v>
      </c>
      <c r="B60">
        <v>545.63</v>
      </c>
      <c r="C60">
        <f t="shared" si="0"/>
        <v>1958</v>
      </c>
      <c r="D60">
        <f t="shared" si="1"/>
        <v>545.63</v>
      </c>
      <c r="E60">
        <f t="shared" si="2"/>
        <v>98.099780833838253</v>
      </c>
      <c r="F60">
        <f t="shared" si="3"/>
        <v>2</v>
      </c>
    </row>
    <row r="61" spans="1:6" x14ac:dyDescent="0.2">
      <c r="A61">
        <v>195901195912</v>
      </c>
      <c r="B61">
        <v>610.58000000000004</v>
      </c>
      <c r="C61">
        <f t="shared" si="0"/>
        <v>1959</v>
      </c>
      <c r="D61">
        <f t="shared" si="1"/>
        <v>610.58000000000004</v>
      </c>
      <c r="E61">
        <f t="shared" si="2"/>
        <v>109.77725598212152</v>
      </c>
      <c r="F61">
        <f t="shared" si="3"/>
        <v>0</v>
      </c>
    </row>
    <row r="62" spans="1:6" x14ac:dyDescent="0.2">
      <c r="A62">
        <v>196001196012</v>
      </c>
      <c r="B62">
        <v>518.85</v>
      </c>
      <c r="C62">
        <f t="shared" si="0"/>
        <v>1960</v>
      </c>
      <c r="D62">
        <f t="shared" si="1"/>
        <v>518.85</v>
      </c>
      <c r="E62">
        <f t="shared" si="2"/>
        <v>93.284957362382897</v>
      </c>
      <c r="F62">
        <f t="shared" si="3"/>
        <v>1</v>
      </c>
    </row>
    <row r="63" spans="1:6" x14ac:dyDescent="0.2">
      <c r="A63">
        <v>196101196112</v>
      </c>
      <c r="B63">
        <v>562.83000000000004</v>
      </c>
      <c r="C63">
        <f t="shared" si="0"/>
        <v>1961</v>
      </c>
      <c r="D63">
        <f t="shared" si="1"/>
        <v>562.83000000000004</v>
      </c>
      <c r="E63">
        <f t="shared" si="2"/>
        <v>101.19219919489248</v>
      </c>
      <c r="F63">
        <f t="shared" si="3"/>
        <v>0</v>
      </c>
    </row>
    <row r="64" spans="1:6" x14ac:dyDescent="0.2">
      <c r="A64">
        <v>196201196212</v>
      </c>
      <c r="B64">
        <v>617.33000000000004</v>
      </c>
      <c r="C64">
        <f t="shared" si="0"/>
        <v>1962</v>
      </c>
      <c r="D64">
        <f t="shared" si="1"/>
        <v>617.33000000000004</v>
      </c>
      <c r="E64">
        <f t="shared" si="2"/>
        <v>110.99085039707013</v>
      </c>
      <c r="F64">
        <f t="shared" si="3"/>
        <v>0</v>
      </c>
    </row>
    <row r="65" spans="1:6" x14ac:dyDescent="0.2">
      <c r="A65">
        <v>196301196312</v>
      </c>
      <c r="B65">
        <v>665.77</v>
      </c>
      <c r="C65">
        <f t="shared" si="0"/>
        <v>1963</v>
      </c>
      <c r="D65">
        <f t="shared" si="1"/>
        <v>665.77</v>
      </c>
      <c r="E65">
        <f t="shared" si="2"/>
        <v>119.69996350227167</v>
      </c>
      <c r="F65">
        <f t="shared" si="3"/>
        <v>0</v>
      </c>
    </row>
    <row r="66" spans="1:6" x14ac:dyDescent="0.2">
      <c r="A66">
        <v>196401196412</v>
      </c>
      <c r="B66">
        <v>497.87</v>
      </c>
      <c r="C66">
        <f t="shared" si="0"/>
        <v>1964</v>
      </c>
      <c r="D66">
        <f t="shared" si="1"/>
        <v>497.87</v>
      </c>
      <c r="E66">
        <f t="shared" si="2"/>
        <v>89.512926128957446</v>
      </c>
      <c r="F66">
        <f t="shared" si="3"/>
        <v>1</v>
      </c>
    </row>
    <row r="67" spans="1:6" x14ac:dyDescent="0.2">
      <c r="A67">
        <v>196501196512</v>
      </c>
      <c r="B67">
        <v>340.91</v>
      </c>
      <c r="C67">
        <f t="shared" ref="C67:C127" si="4">INT(A67/100000000)</f>
        <v>1965</v>
      </c>
      <c r="D67">
        <f t="shared" ref="D67:D127" si="5">B67</f>
        <v>340.91</v>
      </c>
      <c r="E67">
        <f t="shared" ref="E67:E127" si="6">D67 / $G$2 * 100</f>
        <v>61.292810666685845</v>
      </c>
      <c r="F67">
        <f t="shared" si="3"/>
        <v>2</v>
      </c>
    </row>
    <row r="68" spans="1:6" x14ac:dyDescent="0.2">
      <c r="A68">
        <v>196601196612</v>
      </c>
      <c r="B68">
        <v>476.35</v>
      </c>
      <c r="C68">
        <f t="shared" si="4"/>
        <v>1966</v>
      </c>
      <c r="D68">
        <f t="shared" si="5"/>
        <v>476.35</v>
      </c>
      <c r="E68">
        <f t="shared" si="6"/>
        <v>85.643807342336117</v>
      </c>
      <c r="F68">
        <f t="shared" ref="F68:F127" si="7">IF(E68&lt;100, F67+1, 0)</f>
        <v>3</v>
      </c>
    </row>
    <row r="69" spans="1:6" x14ac:dyDescent="0.2">
      <c r="A69">
        <v>196701196712</v>
      </c>
      <c r="B69">
        <v>397.52</v>
      </c>
      <c r="C69">
        <f t="shared" si="4"/>
        <v>1967</v>
      </c>
      <c r="D69">
        <f t="shared" si="5"/>
        <v>397.52</v>
      </c>
      <c r="E69">
        <f t="shared" si="6"/>
        <v>71.47082249338817</v>
      </c>
      <c r="F69">
        <f t="shared" si="7"/>
        <v>4</v>
      </c>
    </row>
    <row r="70" spans="1:6" x14ac:dyDescent="0.2">
      <c r="A70">
        <v>196801196812</v>
      </c>
      <c r="B70">
        <v>529.79999999999995</v>
      </c>
      <c r="C70">
        <f t="shared" si="4"/>
        <v>1968</v>
      </c>
      <c r="D70">
        <f t="shared" si="5"/>
        <v>529.79999999999995</v>
      </c>
      <c r="E70">
        <f t="shared" si="6"/>
        <v>95.253677191077287</v>
      </c>
      <c r="F70">
        <f t="shared" si="7"/>
        <v>5</v>
      </c>
    </row>
    <row r="71" spans="1:6" x14ac:dyDescent="0.2">
      <c r="A71">
        <v>196901196912</v>
      </c>
      <c r="B71">
        <v>602.17999999999995</v>
      </c>
      <c r="C71">
        <f t="shared" si="4"/>
        <v>1969</v>
      </c>
      <c r="D71">
        <f t="shared" si="5"/>
        <v>602.17999999999995</v>
      </c>
      <c r="E71">
        <f t="shared" si="6"/>
        <v>108.2670051546299</v>
      </c>
      <c r="F71">
        <f t="shared" si="7"/>
        <v>0</v>
      </c>
    </row>
    <row r="72" spans="1:6" x14ac:dyDescent="0.2">
      <c r="A72">
        <v>197001197012</v>
      </c>
      <c r="B72">
        <v>550.95000000000005</v>
      </c>
      <c r="C72">
        <f t="shared" si="4"/>
        <v>1970</v>
      </c>
      <c r="D72">
        <f t="shared" si="5"/>
        <v>550.95000000000005</v>
      </c>
      <c r="E72">
        <f t="shared" si="6"/>
        <v>99.056273024582936</v>
      </c>
      <c r="F72">
        <f t="shared" si="7"/>
        <v>1</v>
      </c>
    </row>
    <row r="73" spans="1:6" x14ac:dyDescent="0.2">
      <c r="A73">
        <v>197101197112</v>
      </c>
      <c r="B73">
        <v>582.99</v>
      </c>
      <c r="C73">
        <f t="shared" si="4"/>
        <v>1971</v>
      </c>
      <c r="D73">
        <f t="shared" si="5"/>
        <v>582.99</v>
      </c>
      <c r="E73">
        <f t="shared" si="6"/>
        <v>104.81680118087233</v>
      </c>
      <c r="F73">
        <f t="shared" si="7"/>
        <v>0</v>
      </c>
    </row>
    <row r="74" spans="1:6" x14ac:dyDescent="0.2">
      <c r="A74">
        <v>197201197212</v>
      </c>
      <c r="B74">
        <v>454.3</v>
      </c>
      <c r="C74">
        <f t="shared" si="4"/>
        <v>1972</v>
      </c>
      <c r="D74">
        <f t="shared" si="5"/>
        <v>454.3</v>
      </c>
      <c r="E74">
        <f t="shared" si="6"/>
        <v>81.679398920170669</v>
      </c>
      <c r="F74">
        <f t="shared" si="7"/>
        <v>1</v>
      </c>
    </row>
    <row r="75" spans="1:6" x14ac:dyDescent="0.2">
      <c r="A75">
        <v>197301197312</v>
      </c>
      <c r="B75">
        <v>728.71</v>
      </c>
      <c r="C75">
        <f t="shared" si="4"/>
        <v>1973</v>
      </c>
      <c r="D75">
        <f t="shared" si="5"/>
        <v>728.71</v>
      </c>
      <c r="E75">
        <f t="shared" si="6"/>
        <v>131.01605720254804</v>
      </c>
      <c r="F75">
        <f t="shared" si="7"/>
        <v>0</v>
      </c>
    </row>
    <row r="76" spans="1:6" x14ac:dyDescent="0.2">
      <c r="A76">
        <v>197401197412</v>
      </c>
      <c r="B76">
        <v>795.58</v>
      </c>
      <c r="C76">
        <f t="shared" si="4"/>
        <v>1974</v>
      </c>
      <c r="D76">
        <f t="shared" si="5"/>
        <v>795.58</v>
      </c>
      <c r="E76">
        <f t="shared" si="6"/>
        <v>143.03873253997222</v>
      </c>
      <c r="F76">
        <f t="shared" si="7"/>
        <v>0</v>
      </c>
    </row>
    <row r="77" spans="1:6" x14ac:dyDescent="0.2">
      <c r="A77">
        <v>197501197512</v>
      </c>
      <c r="B77">
        <v>598.96</v>
      </c>
      <c r="C77">
        <f t="shared" si="4"/>
        <v>1975</v>
      </c>
      <c r="D77">
        <f t="shared" si="5"/>
        <v>598.96</v>
      </c>
      <c r="E77">
        <f t="shared" si="6"/>
        <v>107.68807567075814</v>
      </c>
      <c r="F77">
        <f t="shared" si="7"/>
        <v>0</v>
      </c>
    </row>
    <row r="78" spans="1:6" x14ac:dyDescent="0.2">
      <c r="A78">
        <v>197601197612</v>
      </c>
      <c r="B78">
        <v>668.57</v>
      </c>
      <c r="C78">
        <f t="shared" si="4"/>
        <v>1976</v>
      </c>
      <c r="D78">
        <f t="shared" si="5"/>
        <v>668.57</v>
      </c>
      <c r="E78">
        <f t="shared" si="6"/>
        <v>120.20338044476888</v>
      </c>
      <c r="F78">
        <f t="shared" si="7"/>
        <v>0</v>
      </c>
    </row>
    <row r="79" spans="1:6" x14ac:dyDescent="0.2">
      <c r="A79">
        <v>197701197712</v>
      </c>
      <c r="B79">
        <v>471.78</v>
      </c>
      <c r="C79">
        <f t="shared" si="4"/>
        <v>1977</v>
      </c>
      <c r="D79">
        <f t="shared" si="5"/>
        <v>471.78</v>
      </c>
      <c r="E79">
        <f t="shared" si="6"/>
        <v>84.822158975474608</v>
      </c>
      <c r="F79">
        <f t="shared" si="7"/>
        <v>1</v>
      </c>
    </row>
    <row r="80" spans="1:6" x14ac:dyDescent="0.2">
      <c r="A80">
        <v>197801197812</v>
      </c>
      <c r="B80">
        <v>701.37</v>
      </c>
      <c r="C80">
        <f t="shared" si="4"/>
        <v>1978</v>
      </c>
      <c r="D80">
        <f t="shared" si="5"/>
        <v>701.37</v>
      </c>
      <c r="E80">
        <f t="shared" si="6"/>
        <v>126.10055034259322</v>
      </c>
      <c r="F80">
        <f t="shared" si="7"/>
        <v>0</v>
      </c>
    </row>
    <row r="81" spans="1:6" x14ac:dyDescent="0.2">
      <c r="A81">
        <v>197901197912</v>
      </c>
      <c r="B81">
        <v>423.66</v>
      </c>
      <c r="C81">
        <f t="shared" si="4"/>
        <v>1979</v>
      </c>
      <c r="D81">
        <f t="shared" si="5"/>
        <v>423.66</v>
      </c>
      <c r="E81">
        <f t="shared" si="6"/>
        <v>76.170579235129892</v>
      </c>
      <c r="F81">
        <f t="shared" si="7"/>
        <v>1</v>
      </c>
    </row>
    <row r="82" spans="1:6" x14ac:dyDescent="0.2">
      <c r="A82">
        <v>198001198012</v>
      </c>
      <c r="B82">
        <v>386.72</v>
      </c>
      <c r="C82">
        <f t="shared" si="4"/>
        <v>1980</v>
      </c>
      <c r="D82">
        <f t="shared" si="5"/>
        <v>386.72</v>
      </c>
      <c r="E82">
        <f t="shared" si="6"/>
        <v>69.529071429470406</v>
      </c>
      <c r="F82">
        <f t="shared" si="7"/>
        <v>2</v>
      </c>
    </row>
    <row r="83" spans="1:6" x14ac:dyDescent="0.2">
      <c r="A83">
        <v>198101198112</v>
      </c>
      <c r="B83">
        <v>547.1</v>
      </c>
      <c r="C83">
        <f t="shared" si="4"/>
        <v>1981</v>
      </c>
      <c r="D83">
        <f t="shared" si="5"/>
        <v>547.1</v>
      </c>
      <c r="E83">
        <f t="shared" si="6"/>
        <v>98.364074728649285</v>
      </c>
      <c r="F83">
        <f t="shared" si="7"/>
        <v>3</v>
      </c>
    </row>
    <row r="84" spans="1:6" x14ac:dyDescent="0.2">
      <c r="A84">
        <v>198201198212</v>
      </c>
      <c r="B84">
        <v>327.98</v>
      </c>
      <c r="C84">
        <f t="shared" si="4"/>
        <v>1982</v>
      </c>
      <c r="D84">
        <f t="shared" si="5"/>
        <v>327.98</v>
      </c>
      <c r="E84">
        <f t="shared" si="6"/>
        <v>58.968103142939853</v>
      </c>
      <c r="F84">
        <f t="shared" si="7"/>
        <v>4</v>
      </c>
    </row>
    <row r="85" spans="1:6" x14ac:dyDescent="0.2">
      <c r="A85">
        <v>198301198312</v>
      </c>
      <c r="B85">
        <v>667.92</v>
      </c>
      <c r="C85">
        <f t="shared" si="4"/>
        <v>1983</v>
      </c>
      <c r="D85">
        <f t="shared" si="5"/>
        <v>667.92</v>
      </c>
      <c r="E85">
        <f t="shared" si="6"/>
        <v>120.08651579740346</v>
      </c>
      <c r="F85">
        <f t="shared" si="7"/>
        <v>0</v>
      </c>
    </row>
    <row r="86" spans="1:6" x14ac:dyDescent="0.2">
      <c r="A86">
        <v>198401198412</v>
      </c>
      <c r="B86">
        <v>659.7</v>
      </c>
      <c r="C86">
        <f t="shared" si="4"/>
        <v>1984</v>
      </c>
      <c r="D86">
        <f t="shared" si="5"/>
        <v>659.7</v>
      </c>
      <c r="E86">
        <f t="shared" si="6"/>
        <v>118.60862748764383</v>
      </c>
      <c r="F86">
        <f t="shared" si="7"/>
        <v>0</v>
      </c>
    </row>
    <row r="87" spans="1:6" x14ac:dyDescent="0.2">
      <c r="A87">
        <v>198501198512</v>
      </c>
      <c r="B87">
        <v>532.55999999999995</v>
      </c>
      <c r="C87">
        <f t="shared" si="4"/>
        <v>1985</v>
      </c>
      <c r="D87">
        <f t="shared" si="5"/>
        <v>532.55999999999995</v>
      </c>
      <c r="E87">
        <f t="shared" si="6"/>
        <v>95.749902462967384</v>
      </c>
      <c r="F87">
        <f t="shared" si="7"/>
        <v>1</v>
      </c>
    </row>
    <row r="88" spans="1:6" x14ac:dyDescent="0.2">
      <c r="A88">
        <v>198601198612</v>
      </c>
      <c r="B88">
        <v>438.5</v>
      </c>
      <c r="C88">
        <f t="shared" si="4"/>
        <v>1986</v>
      </c>
      <c r="D88">
        <f t="shared" si="5"/>
        <v>438.5</v>
      </c>
      <c r="E88">
        <f t="shared" si="6"/>
        <v>78.838689030365032</v>
      </c>
      <c r="F88">
        <f t="shared" si="7"/>
        <v>2</v>
      </c>
    </row>
    <row r="89" spans="1:6" x14ac:dyDescent="0.2">
      <c r="A89">
        <v>198701198712</v>
      </c>
      <c r="B89">
        <v>535.04999999999995</v>
      </c>
      <c r="C89">
        <f t="shared" si="4"/>
        <v>1987</v>
      </c>
      <c r="D89">
        <f t="shared" si="5"/>
        <v>535.04999999999995</v>
      </c>
      <c r="E89">
        <f t="shared" si="6"/>
        <v>96.197583958259543</v>
      </c>
      <c r="F89">
        <f t="shared" si="7"/>
        <v>3</v>
      </c>
    </row>
    <row r="90" spans="1:6" x14ac:dyDescent="0.2">
      <c r="A90">
        <v>198801198812</v>
      </c>
      <c r="B90">
        <v>676.22</v>
      </c>
      <c r="C90">
        <f t="shared" si="4"/>
        <v>1988</v>
      </c>
      <c r="D90">
        <f t="shared" si="5"/>
        <v>676.22</v>
      </c>
      <c r="E90">
        <f t="shared" si="6"/>
        <v>121.57878744837731</v>
      </c>
      <c r="F90">
        <f t="shared" si="7"/>
        <v>0</v>
      </c>
    </row>
    <row r="91" spans="1:6" x14ac:dyDescent="0.2">
      <c r="A91">
        <v>198901198912</v>
      </c>
      <c r="B91">
        <v>626.4</v>
      </c>
      <c r="C91">
        <f t="shared" si="4"/>
        <v>1989</v>
      </c>
      <c r="D91">
        <f t="shared" si="5"/>
        <v>626.4</v>
      </c>
      <c r="E91">
        <f t="shared" si="6"/>
        <v>112.6215617072307</v>
      </c>
      <c r="F91">
        <f t="shared" si="7"/>
        <v>0</v>
      </c>
    </row>
    <row r="92" spans="1:6" x14ac:dyDescent="0.2">
      <c r="A92">
        <v>199001199012</v>
      </c>
      <c r="B92">
        <v>620.39</v>
      </c>
      <c r="C92">
        <f t="shared" si="4"/>
        <v>1990</v>
      </c>
      <c r="D92">
        <f t="shared" si="5"/>
        <v>620.39</v>
      </c>
      <c r="E92">
        <f t="shared" si="6"/>
        <v>111.54101319851348</v>
      </c>
      <c r="F92">
        <f t="shared" si="7"/>
        <v>0</v>
      </c>
    </row>
    <row r="93" spans="1:6" x14ac:dyDescent="0.2">
      <c r="A93">
        <v>199101199112</v>
      </c>
      <c r="B93">
        <v>470.29</v>
      </c>
      <c r="C93">
        <f t="shared" si="4"/>
        <v>1991</v>
      </c>
      <c r="D93">
        <f t="shared" si="5"/>
        <v>470.29</v>
      </c>
      <c r="E93">
        <f t="shared" si="6"/>
        <v>84.554269245360032</v>
      </c>
      <c r="F93">
        <f t="shared" si="7"/>
        <v>1</v>
      </c>
    </row>
    <row r="94" spans="1:6" x14ac:dyDescent="0.2">
      <c r="A94">
        <v>199201199212</v>
      </c>
      <c r="B94">
        <v>622.29999999999995</v>
      </c>
      <c r="C94">
        <f t="shared" si="4"/>
        <v>1992</v>
      </c>
      <c r="D94">
        <f t="shared" si="5"/>
        <v>622.29999999999995</v>
      </c>
      <c r="E94">
        <f t="shared" si="6"/>
        <v>111.88441547000265</v>
      </c>
      <c r="F94">
        <f t="shared" si="7"/>
        <v>0</v>
      </c>
    </row>
    <row r="95" spans="1:6" x14ac:dyDescent="0.2">
      <c r="A95">
        <v>199301199312</v>
      </c>
      <c r="B95">
        <v>552.96</v>
      </c>
      <c r="C95">
        <f t="shared" si="4"/>
        <v>1993</v>
      </c>
      <c r="D95">
        <f t="shared" si="5"/>
        <v>552.96</v>
      </c>
      <c r="E95">
        <f t="shared" si="6"/>
        <v>99.417654472589859</v>
      </c>
      <c r="F95">
        <f t="shared" si="7"/>
        <v>1</v>
      </c>
    </row>
    <row r="96" spans="1:6" x14ac:dyDescent="0.2">
      <c r="A96">
        <v>199401199412</v>
      </c>
      <c r="B96">
        <v>354.82</v>
      </c>
      <c r="C96">
        <f t="shared" si="4"/>
        <v>1994</v>
      </c>
      <c r="D96">
        <f t="shared" si="5"/>
        <v>354.82</v>
      </c>
      <c r="E96">
        <f t="shared" si="6"/>
        <v>63.793714120305864</v>
      </c>
      <c r="F96">
        <f t="shared" si="7"/>
        <v>2</v>
      </c>
    </row>
    <row r="97" spans="1:6" x14ac:dyDescent="0.2">
      <c r="A97">
        <v>199501199512</v>
      </c>
      <c r="B97">
        <v>577.89</v>
      </c>
      <c r="C97">
        <f t="shared" si="4"/>
        <v>1995</v>
      </c>
      <c r="D97">
        <f t="shared" si="5"/>
        <v>577.89</v>
      </c>
      <c r="E97">
        <f t="shared" si="6"/>
        <v>103.89986317846672</v>
      </c>
      <c r="F97">
        <f t="shared" si="7"/>
        <v>0</v>
      </c>
    </row>
    <row r="98" spans="1:6" x14ac:dyDescent="0.2">
      <c r="A98">
        <v>199601199612</v>
      </c>
      <c r="B98">
        <v>591.5</v>
      </c>
      <c r="C98">
        <f t="shared" si="4"/>
        <v>1996</v>
      </c>
      <c r="D98">
        <f t="shared" si="5"/>
        <v>591.5</v>
      </c>
      <c r="E98">
        <f t="shared" si="6"/>
        <v>106.34682910253346</v>
      </c>
      <c r="F98">
        <f t="shared" si="7"/>
        <v>0</v>
      </c>
    </row>
    <row r="99" spans="1:6" x14ac:dyDescent="0.2">
      <c r="A99">
        <v>199701199712</v>
      </c>
      <c r="B99">
        <v>463.42</v>
      </c>
      <c r="C99">
        <f t="shared" si="4"/>
        <v>1997</v>
      </c>
      <c r="D99">
        <f t="shared" si="5"/>
        <v>463.42</v>
      </c>
      <c r="E99">
        <f t="shared" si="6"/>
        <v>83.319099818590118</v>
      </c>
      <c r="F99">
        <f t="shared" si="7"/>
        <v>1</v>
      </c>
    </row>
    <row r="100" spans="1:6" x14ac:dyDescent="0.2">
      <c r="A100">
        <v>199801199812</v>
      </c>
      <c r="B100">
        <v>626.34</v>
      </c>
      <c r="C100">
        <f t="shared" si="4"/>
        <v>1998</v>
      </c>
      <c r="D100">
        <f t="shared" si="5"/>
        <v>626.34</v>
      </c>
      <c r="E100">
        <f t="shared" si="6"/>
        <v>112.61077420132004</v>
      </c>
      <c r="F100">
        <f t="shared" si="7"/>
        <v>0</v>
      </c>
    </row>
    <row r="101" spans="1:6" x14ac:dyDescent="0.2">
      <c r="A101">
        <v>199901199912</v>
      </c>
      <c r="B101">
        <v>649.73</v>
      </c>
      <c r="C101">
        <f t="shared" si="4"/>
        <v>1999</v>
      </c>
      <c r="D101">
        <f t="shared" si="5"/>
        <v>649.73</v>
      </c>
      <c r="E101">
        <f t="shared" si="6"/>
        <v>116.81610358882344</v>
      </c>
      <c r="F101">
        <f t="shared" si="7"/>
        <v>0</v>
      </c>
    </row>
    <row r="102" spans="1:6" x14ac:dyDescent="0.2">
      <c r="A102">
        <v>200001200012</v>
      </c>
      <c r="B102">
        <v>617.54999999999995</v>
      </c>
      <c r="C102">
        <f t="shared" si="4"/>
        <v>2000</v>
      </c>
      <c r="D102">
        <f t="shared" si="5"/>
        <v>617.54999999999995</v>
      </c>
      <c r="E102">
        <f t="shared" si="6"/>
        <v>111.03040458540919</v>
      </c>
      <c r="F102">
        <f t="shared" si="7"/>
        <v>0</v>
      </c>
    </row>
    <row r="103" spans="1:6" x14ac:dyDescent="0.2">
      <c r="A103">
        <v>200101200112</v>
      </c>
      <c r="B103">
        <v>478.44</v>
      </c>
      <c r="C103">
        <f t="shared" si="4"/>
        <v>2001</v>
      </c>
      <c r="D103">
        <f t="shared" si="5"/>
        <v>478.44</v>
      </c>
      <c r="E103">
        <f t="shared" si="6"/>
        <v>86.019572131557226</v>
      </c>
      <c r="F103">
        <f t="shared" si="7"/>
        <v>1</v>
      </c>
    </row>
    <row r="104" spans="1:6" x14ac:dyDescent="0.2">
      <c r="A104">
        <v>200201200212</v>
      </c>
      <c r="B104">
        <v>313.73</v>
      </c>
      <c r="C104">
        <f t="shared" si="4"/>
        <v>2002</v>
      </c>
      <c r="D104">
        <f t="shared" si="5"/>
        <v>313.73</v>
      </c>
      <c r="E104">
        <f t="shared" si="6"/>
        <v>56.406070489159468</v>
      </c>
      <c r="F104">
        <f t="shared" si="7"/>
        <v>2</v>
      </c>
    </row>
    <row r="105" spans="1:6" x14ac:dyDescent="0.2">
      <c r="A105">
        <v>200301200312</v>
      </c>
      <c r="B105">
        <v>481.11</v>
      </c>
      <c r="C105">
        <f t="shared" si="4"/>
        <v>2003</v>
      </c>
      <c r="D105">
        <f t="shared" si="5"/>
        <v>481.11</v>
      </c>
      <c r="E105">
        <f t="shared" si="6"/>
        <v>86.499616144581353</v>
      </c>
      <c r="F105">
        <f t="shared" si="7"/>
        <v>3</v>
      </c>
    </row>
    <row r="106" spans="1:6" x14ac:dyDescent="0.2">
      <c r="A106">
        <v>200401200412</v>
      </c>
      <c r="B106">
        <v>489.42</v>
      </c>
      <c r="C106">
        <f t="shared" si="4"/>
        <v>2004</v>
      </c>
      <c r="D106">
        <f t="shared" si="5"/>
        <v>489.42</v>
      </c>
      <c r="E106">
        <f t="shared" si="6"/>
        <v>87.993685713206972</v>
      </c>
      <c r="F106">
        <f t="shared" si="7"/>
        <v>4</v>
      </c>
    </row>
    <row r="107" spans="1:6" x14ac:dyDescent="0.2">
      <c r="A107">
        <v>200501200512</v>
      </c>
      <c r="B107">
        <v>493.31</v>
      </c>
      <c r="C107">
        <f t="shared" si="4"/>
        <v>2005</v>
      </c>
      <c r="D107">
        <f t="shared" si="5"/>
        <v>493.31</v>
      </c>
      <c r="E107">
        <f t="shared" si="6"/>
        <v>88.693075679747722</v>
      </c>
      <c r="F107">
        <f t="shared" si="7"/>
        <v>5</v>
      </c>
    </row>
    <row r="108" spans="1:6" x14ac:dyDescent="0.2">
      <c r="A108">
        <v>200601200612</v>
      </c>
      <c r="B108">
        <v>348.88</v>
      </c>
      <c r="C108">
        <f t="shared" si="4"/>
        <v>2006</v>
      </c>
      <c r="D108">
        <f t="shared" si="5"/>
        <v>348.88</v>
      </c>
      <c r="E108">
        <f t="shared" si="6"/>
        <v>62.725751035151092</v>
      </c>
      <c r="F108">
        <f t="shared" si="7"/>
        <v>6</v>
      </c>
    </row>
    <row r="109" spans="1:6" x14ac:dyDescent="0.2">
      <c r="A109">
        <v>200701200712</v>
      </c>
      <c r="B109">
        <v>546.09</v>
      </c>
      <c r="C109">
        <f t="shared" si="4"/>
        <v>2007</v>
      </c>
      <c r="D109">
        <f t="shared" si="5"/>
        <v>546.09</v>
      </c>
      <c r="E109">
        <f t="shared" si="6"/>
        <v>98.182485045819945</v>
      </c>
      <c r="F109">
        <f t="shared" si="7"/>
        <v>7</v>
      </c>
    </row>
    <row r="110" spans="1:6" x14ac:dyDescent="0.2">
      <c r="A110">
        <v>200801200812</v>
      </c>
      <c r="B110">
        <v>518.29999999999995</v>
      </c>
      <c r="C110">
        <f t="shared" si="4"/>
        <v>2008</v>
      </c>
      <c r="D110">
        <f t="shared" si="5"/>
        <v>518.29999999999995</v>
      </c>
      <c r="E110">
        <f t="shared" si="6"/>
        <v>93.186071891535221</v>
      </c>
      <c r="F110">
        <f t="shared" si="7"/>
        <v>8</v>
      </c>
    </row>
    <row r="111" spans="1:6" x14ac:dyDescent="0.2">
      <c r="A111">
        <v>200901200912</v>
      </c>
      <c r="B111">
        <v>485.73</v>
      </c>
      <c r="C111">
        <f t="shared" si="4"/>
        <v>2009</v>
      </c>
      <c r="D111">
        <f t="shared" si="5"/>
        <v>485.73</v>
      </c>
      <c r="E111">
        <f t="shared" si="6"/>
        <v>87.330254099701733</v>
      </c>
      <c r="F111">
        <f t="shared" si="7"/>
        <v>9</v>
      </c>
    </row>
    <row r="112" spans="1:6" x14ac:dyDescent="0.2">
      <c r="A112">
        <v>201001201012</v>
      </c>
      <c r="B112">
        <v>818.33</v>
      </c>
      <c r="C112">
        <f t="shared" si="4"/>
        <v>2010</v>
      </c>
      <c r="D112">
        <f t="shared" si="5"/>
        <v>818.33</v>
      </c>
      <c r="E112">
        <f t="shared" si="6"/>
        <v>147.12899519776198</v>
      </c>
      <c r="F112">
        <f t="shared" si="7"/>
        <v>0</v>
      </c>
    </row>
    <row r="113" spans="1:6" x14ac:dyDescent="0.2">
      <c r="A113">
        <v>201101201112</v>
      </c>
      <c r="B113">
        <v>665.7</v>
      </c>
      <c r="C113">
        <f t="shared" si="4"/>
        <v>2011</v>
      </c>
      <c r="D113">
        <f t="shared" si="5"/>
        <v>665.7</v>
      </c>
      <c r="E113">
        <f t="shared" si="6"/>
        <v>119.68737807870926</v>
      </c>
      <c r="F113">
        <f t="shared" si="7"/>
        <v>0</v>
      </c>
    </row>
    <row r="114" spans="1:6" x14ac:dyDescent="0.2">
      <c r="A114">
        <v>201201201212</v>
      </c>
      <c r="B114">
        <v>564.70000000000005</v>
      </c>
      <c r="C114">
        <f t="shared" si="4"/>
        <v>2012</v>
      </c>
      <c r="D114">
        <f t="shared" si="5"/>
        <v>564.70000000000005</v>
      </c>
      <c r="E114">
        <f t="shared" si="6"/>
        <v>101.52840979577455</v>
      </c>
      <c r="F114">
        <f t="shared" si="7"/>
        <v>0</v>
      </c>
    </row>
    <row r="115" spans="1:6" x14ac:dyDescent="0.2">
      <c r="A115">
        <v>201301201312</v>
      </c>
      <c r="B115">
        <v>462.22</v>
      </c>
      <c r="C115">
        <f t="shared" si="4"/>
        <v>2013</v>
      </c>
      <c r="D115">
        <f t="shared" si="5"/>
        <v>462.22</v>
      </c>
      <c r="E115">
        <f t="shared" si="6"/>
        <v>83.103349700377038</v>
      </c>
      <c r="F115">
        <f t="shared" si="7"/>
        <v>1</v>
      </c>
    </row>
    <row r="116" spans="1:6" x14ac:dyDescent="0.2">
      <c r="A116">
        <v>201401201412</v>
      </c>
      <c r="B116">
        <v>468.31</v>
      </c>
      <c r="C116">
        <f t="shared" si="4"/>
        <v>2014</v>
      </c>
      <c r="D116">
        <f t="shared" si="5"/>
        <v>468.31</v>
      </c>
      <c r="E116">
        <f t="shared" si="6"/>
        <v>84.198281550308437</v>
      </c>
      <c r="F116">
        <f t="shared" si="7"/>
        <v>2</v>
      </c>
    </row>
    <row r="117" spans="1:6" x14ac:dyDescent="0.2">
      <c r="A117">
        <v>201501201512</v>
      </c>
      <c r="B117">
        <v>541.73</v>
      </c>
      <c r="C117">
        <f t="shared" si="4"/>
        <v>2015</v>
      </c>
      <c r="D117">
        <f t="shared" si="5"/>
        <v>541.73</v>
      </c>
      <c r="E117">
        <f t="shared" si="6"/>
        <v>97.398592949645732</v>
      </c>
      <c r="F117">
        <f t="shared" si="7"/>
        <v>3</v>
      </c>
    </row>
    <row r="118" spans="1:6" x14ac:dyDescent="0.2">
      <c r="A118">
        <v>201601201612</v>
      </c>
      <c r="B118">
        <v>663.05</v>
      </c>
      <c r="C118">
        <f t="shared" si="4"/>
        <v>2016</v>
      </c>
      <c r="D118">
        <f t="shared" si="5"/>
        <v>663.05</v>
      </c>
      <c r="E118">
        <f t="shared" si="6"/>
        <v>119.21092990098867</v>
      </c>
      <c r="F118">
        <f t="shared" si="7"/>
        <v>0</v>
      </c>
    </row>
    <row r="119" spans="1:6" x14ac:dyDescent="0.2">
      <c r="A119">
        <v>201701201712</v>
      </c>
      <c r="B119">
        <v>456.43</v>
      </c>
      <c r="C119">
        <f t="shared" si="4"/>
        <v>2017</v>
      </c>
      <c r="D119">
        <f t="shared" si="5"/>
        <v>456.43</v>
      </c>
      <c r="E119">
        <f t="shared" si="6"/>
        <v>82.062355379998891</v>
      </c>
      <c r="F119">
        <f t="shared" si="7"/>
        <v>1</v>
      </c>
    </row>
    <row r="120" spans="1:6" x14ac:dyDescent="0.2">
      <c r="A120">
        <v>201801201812</v>
      </c>
      <c r="B120">
        <v>331.68</v>
      </c>
      <c r="C120">
        <f t="shared" si="4"/>
        <v>2018</v>
      </c>
      <c r="D120">
        <f t="shared" si="5"/>
        <v>331.68</v>
      </c>
      <c r="E120">
        <f t="shared" si="6"/>
        <v>59.633332674096863</v>
      </c>
      <c r="F120">
        <f t="shared" si="7"/>
        <v>2</v>
      </c>
    </row>
    <row r="121" spans="1:6" x14ac:dyDescent="0.2">
      <c r="A121">
        <v>201901201912</v>
      </c>
      <c r="B121">
        <v>251.49</v>
      </c>
      <c r="C121">
        <f t="shared" si="4"/>
        <v>2019</v>
      </c>
      <c r="D121">
        <f t="shared" si="5"/>
        <v>251.49</v>
      </c>
      <c r="E121">
        <f t="shared" si="6"/>
        <v>45.215831024507416</v>
      </c>
      <c r="F121">
        <f t="shared" si="7"/>
        <v>3</v>
      </c>
    </row>
    <row r="122" spans="1:6" x14ac:dyDescent="0.2">
      <c r="A122">
        <v>202001202012</v>
      </c>
      <c r="B122">
        <v>639.22</v>
      </c>
      <c r="C122">
        <f t="shared" si="4"/>
        <v>2020</v>
      </c>
      <c r="D122">
        <f t="shared" si="5"/>
        <v>639.22</v>
      </c>
      <c r="E122">
        <f t="shared" si="6"/>
        <v>114.92649213680717</v>
      </c>
      <c r="F122">
        <f t="shared" si="7"/>
        <v>0</v>
      </c>
    </row>
    <row r="123" spans="1:6" x14ac:dyDescent="0.2">
      <c r="A123">
        <v>202101202112</v>
      </c>
      <c r="B123">
        <v>721.25</v>
      </c>
      <c r="C123">
        <f t="shared" si="4"/>
        <v>2021</v>
      </c>
      <c r="D123">
        <f t="shared" si="5"/>
        <v>721.25</v>
      </c>
      <c r="E123">
        <f t="shared" si="6"/>
        <v>129.67481063432334</v>
      </c>
      <c r="F123">
        <f t="shared" si="7"/>
        <v>0</v>
      </c>
    </row>
    <row r="124" spans="1:6" x14ac:dyDescent="0.2">
      <c r="A124">
        <v>202201202212</v>
      </c>
      <c r="B124">
        <v>863.29</v>
      </c>
      <c r="C124">
        <f t="shared" si="4"/>
        <v>2022</v>
      </c>
      <c r="D124">
        <f t="shared" si="5"/>
        <v>863.29</v>
      </c>
      <c r="E124">
        <f t="shared" si="6"/>
        <v>155.21243296014558</v>
      </c>
      <c r="F124">
        <f t="shared" si="7"/>
        <v>0</v>
      </c>
    </row>
    <row r="125" spans="1:6" x14ac:dyDescent="0.2">
      <c r="A125">
        <v>202301202312</v>
      </c>
      <c r="B125">
        <v>432.38</v>
      </c>
      <c r="C125">
        <f t="shared" si="4"/>
        <v>2023</v>
      </c>
      <c r="D125">
        <f t="shared" si="5"/>
        <v>432.38</v>
      </c>
      <c r="E125">
        <f t="shared" si="6"/>
        <v>77.738363427478291</v>
      </c>
      <c r="F125">
        <f t="shared" si="7"/>
        <v>1</v>
      </c>
    </row>
    <row r="126" spans="1:6" x14ac:dyDescent="0.2">
      <c r="A126">
        <v>202401202412</v>
      </c>
      <c r="B126">
        <v>582.58000000000004</v>
      </c>
      <c r="C126">
        <f t="shared" si="4"/>
        <v>2024</v>
      </c>
      <c r="D126">
        <f t="shared" si="5"/>
        <v>582.58000000000004</v>
      </c>
      <c r="E126">
        <f t="shared" si="6"/>
        <v>104.74308655714952</v>
      </c>
      <c r="F126">
        <f t="shared" si="7"/>
        <v>0</v>
      </c>
    </row>
    <row r="127" spans="1:6" x14ac:dyDescent="0.2">
      <c r="A127">
        <v>202501202512</v>
      </c>
      <c r="B127">
        <v>531.37</v>
      </c>
      <c r="C127">
        <f t="shared" si="4"/>
        <v>2025</v>
      </c>
      <c r="D127">
        <f t="shared" si="5"/>
        <v>531.37</v>
      </c>
      <c r="E127">
        <f t="shared" si="6"/>
        <v>95.535950262406089</v>
      </c>
      <c r="F127">
        <f t="shared" si="7"/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23F5-A8AD-D748-B482-3291E6090FC5}">
  <dimension ref="A1:H127"/>
  <sheetViews>
    <sheetView workbookViewId="0">
      <selection activeCell="H8" sqref="H8"/>
    </sheetView>
  </sheetViews>
  <sheetFormatPr baseColWidth="10" defaultRowHeight="16" x14ac:dyDescent="0.2"/>
  <cols>
    <col min="1" max="1" width="12.1640625" bestFit="1" customWidth="1"/>
    <col min="2" max="2" width="11.6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656.5</v>
      </c>
      <c r="C2">
        <f>INT(A2/100000000)</f>
        <v>1900</v>
      </c>
      <c r="D2">
        <f>B2</f>
        <v>656.5</v>
      </c>
      <c r="E2">
        <f>D2 / $G$2 * 100</f>
        <v>98.967213436024053</v>
      </c>
      <c r="F2">
        <f>IF(E2&lt;100, 1, 0)</f>
        <v>1</v>
      </c>
      <c r="G2">
        <f>AVERAGEIFS(D:D, C:C, "&gt;=1961", C:C, "&lt;=1990")</f>
        <v>663.35100000000011</v>
      </c>
    </row>
    <row r="3" spans="1:8" x14ac:dyDescent="0.2">
      <c r="A3">
        <v>190101190112</v>
      </c>
      <c r="B3">
        <v>576.59</v>
      </c>
      <c r="C3">
        <f t="shared" ref="C3:C66" si="0">INT(A3/100000000)</f>
        <v>1901</v>
      </c>
      <c r="D3">
        <f t="shared" ref="D3:D66" si="1">B3</f>
        <v>576.59</v>
      </c>
      <c r="E3">
        <f t="shared" ref="E3:E66" si="2">D3 / $G$2 * 100</f>
        <v>86.920800601793005</v>
      </c>
      <c r="F3">
        <f>IF(E3&lt;100, F2+1, 0)</f>
        <v>2</v>
      </c>
    </row>
    <row r="4" spans="1:8" x14ac:dyDescent="0.2">
      <c r="A4">
        <v>190201190212</v>
      </c>
      <c r="B4">
        <v>493.6</v>
      </c>
      <c r="C4">
        <f t="shared" si="0"/>
        <v>1902</v>
      </c>
      <c r="D4">
        <f t="shared" si="1"/>
        <v>493.6</v>
      </c>
      <c r="E4">
        <f t="shared" si="2"/>
        <v>74.410078525546794</v>
      </c>
      <c r="F4">
        <f t="shared" ref="F4:F67" si="3">IF(E4&lt;100, F3+1, 0)</f>
        <v>3</v>
      </c>
      <c r="G4" t="s">
        <v>7</v>
      </c>
      <c r="H4">
        <f>AVERAGEIFS(E:E, C:C, "&gt;=1900", C:C, "&lt;=1902")</f>
        <v>86.766030854454627</v>
      </c>
    </row>
    <row r="5" spans="1:8" x14ac:dyDescent="0.2">
      <c r="A5">
        <v>190301190312</v>
      </c>
      <c r="B5">
        <v>715.91</v>
      </c>
      <c r="C5">
        <f t="shared" si="0"/>
        <v>1903</v>
      </c>
      <c r="D5">
        <f t="shared" si="1"/>
        <v>715.91</v>
      </c>
      <c r="E5">
        <f t="shared" si="2"/>
        <v>107.92325631528404</v>
      </c>
      <c r="F5">
        <f t="shared" si="3"/>
        <v>0</v>
      </c>
      <c r="G5" t="s">
        <v>8</v>
      </c>
      <c r="H5">
        <f>AVERAGEIFS(E:E, C:C, "&gt;=1937", C:C, "&lt;=1945")</f>
        <v>84.237957481534394</v>
      </c>
    </row>
    <row r="6" spans="1:8" x14ac:dyDescent="0.2">
      <c r="A6">
        <v>190401190412</v>
      </c>
      <c r="B6">
        <v>611.35</v>
      </c>
      <c r="C6">
        <f t="shared" si="0"/>
        <v>1904</v>
      </c>
      <c r="D6">
        <f t="shared" si="1"/>
        <v>611.35</v>
      </c>
      <c r="E6">
        <f t="shared" si="2"/>
        <v>92.160862047392698</v>
      </c>
      <c r="F6">
        <f t="shared" si="3"/>
        <v>1</v>
      </c>
      <c r="G6" t="s">
        <v>9</v>
      </c>
      <c r="H6">
        <f>AVERAGEIFS(E:E, C:C, "&gt;=1997", C:C, "&lt;=2009")</f>
        <v>84.327093105251279</v>
      </c>
    </row>
    <row r="7" spans="1:8" x14ac:dyDescent="0.2">
      <c r="A7">
        <v>190501190512</v>
      </c>
      <c r="B7">
        <v>647.78</v>
      </c>
      <c r="C7">
        <f t="shared" si="0"/>
        <v>1905</v>
      </c>
      <c r="D7">
        <f t="shared" si="1"/>
        <v>647.78</v>
      </c>
      <c r="E7">
        <f t="shared" si="2"/>
        <v>97.652675582007092</v>
      </c>
      <c r="F7">
        <f t="shared" si="3"/>
        <v>2</v>
      </c>
      <c r="G7" t="s">
        <v>10</v>
      </c>
      <c r="H7">
        <f>AVERAGEIFS(E:E, C:C, "&gt;=2017", C:C, "&lt;=2019")</f>
        <v>78.808956344378757</v>
      </c>
    </row>
    <row r="8" spans="1:8" x14ac:dyDescent="0.2">
      <c r="A8">
        <v>190601190612</v>
      </c>
      <c r="B8">
        <v>745.19</v>
      </c>
      <c r="C8">
        <f t="shared" si="0"/>
        <v>1906</v>
      </c>
      <c r="D8">
        <f t="shared" si="1"/>
        <v>745.19</v>
      </c>
      <c r="E8">
        <f t="shared" si="2"/>
        <v>112.33720910950611</v>
      </c>
      <c r="F8">
        <f t="shared" si="3"/>
        <v>0</v>
      </c>
      <c r="G8" t="s">
        <v>11</v>
      </c>
      <c r="H8">
        <f>COUNTIF(E:E, "&lt;80")</f>
        <v>19</v>
      </c>
    </row>
    <row r="9" spans="1:8" x14ac:dyDescent="0.2">
      <c r="A9">
        <v>190701190712</v>
      </c>
      <c r="B9">
        <v>543.53</v>
      </c>
      <c r="C9">
        <f t="shared" si="0"/>
        <v>1907</v>
      </c>
      <c r="D9">
        <f t="shared" si="1"/>
        <v>543.53</v>
      </c>
      <c r="E9">
        <f t="shared" si="2"/>
        <v>81.937013737825055</v>
      </c>
      <c r="F9">
        <f t="shared" si="3"/>
        <v>1</v>
      </c>
      <c r="G9" t="s">
        <v>12</v>
      </c>
      <c r="H9">
        <f>MAX(F:F)</f>
        <v>13</v>
      </c>
    </row>
    <row r="10" spans="1:8" x14ac:dyDescent="0.2">
      <c r="A10">
        <v>190801190812</v>
      </c>
      <c r="B10">
        <v>541.57000000000005</v>
      </c>
      <c r="C10">
        <f t="shared" si="0"/>
        <v>1908</v>
      </c>
      <c r="D10">
        <f t="shared" si="1"/>
        <v>541.57000000000005</v>
      </c>
      <c r="E10">
        <f t="shared" si="2"/>
        <v>81.641544220179057</v>
      </c>
      <c r="F10">
        <f t="shared" si="3"/>
        <v>2</v>
      </c>
      <c r="G10" t="s">
        <v>13</v>
      </c>
      <c r="H10">
        <f>INDEX(C:C, MATCH(H9, F:F, 0))</f>
        <v>2009</v>
      </c>
    </row>
    <row r="11" spans="1:8" x14ac:dyDescent="0.2">
      <c r="A11">
        <v>190901190912</v>
      </c>
      <c r="B11">
        <v>707.83</v>
      </c>
      <c r="C11">
        <f t="shared" si="0"/>
        <v>1909</v>
      </c>
      <c r="D11">
        <f t="shared" si="1"/>
        <v>707.83</v>
      </c>
      <c r="E11">
        <f t="shared" si="2"/>
        <v>106.70519830376375</v>
      </c>
      <c r="F11">
        <f t="shared" si="3"/>
        <v>0</v>
      </c>
      <c r="G11" t="s">
        <v>14</v>
      </c>
      <c r="H11" t="str">
        <f>(H10-H9+1) &amp; "-" &amp; H10</f>
        <v>1997-2009</v>
      </c>
    </row>
    <row r="12" spans="1:8" x14ac:dyDescent="0.2">
      <c r="A12">
        <v>191001191012</v>
      </c>
      <c r="B12">
        <v>693.68</v>
      </c>
      <c r="C12">
        <f t="shared" si="0"/>
        <v>1910</v>
      </c>
      <c r="D12">
        <f t="shared" si="1"/>
        <v>693.68</v>
      </c>
      <c r="E12">
        <f t="shared" si="2"/>
        <v>104.57208928606421</v>
      </c>
      <c r="F12">
        <f t="shared" si="3"/>
        <v>0</v>
      </c>
    </row>
    <row r="13" spans="1:8" x14ac:dyDescent="0.2">
      <c r="A13">
        <v>191101191112</v>
      </c>
      <c r="B13">
        <v>736.45</v>
      </c>
      <c r="C13">
        <f t="shared" si="0"/>
        <v>1911</v>
      </c>
      <c r="D13">
        <f t="shared" si="1"/>
        <v>736.45</v>
      </c>
      <c r="E13">
        <f t="shared" si="2"/>
        <v>111.01965626041115</v>
      </c>
      <c r="F13">
        <f t="shared" si="3"/>
        <v>0</v>
      </c>
    </row>
    <row r="14" spans="1:8" x14ac:dyDescent="0.2">
      <c r="A14">
        <v>191201191212</v>
      </c>
      <c r="B14">
        <v>584.78</v>
      </c>
      <c r="C14">
        <f t="shared" si="0"/>
        <v>1912</v>
      </c>
      <c r="D14">
        <f t="shared" si="1"/>
        <v>584.78</v>
      </c>
      <c r="E14">
        <f t="shared" si="2"/>
        <v>88.155441086242405</v>
      </c>
      <c r="F14">
        <f t="shared" si="3"/>
        <v>1</v>
      </c>
    </row>
    <row r="15" spans="1:8" x14ac:dyDescent="0.2">
      <c r="A15">
        <v>191301191312</v>
      </c>
      <c r="B15">
        <v>614.85</v>
      </c>
      <c r="C15">
        <f t="shared" si="0"/>
        <v>1913</v>
      </c>
      <c r="D15">
        <f t="shared" si="1"/>
        <v>614.85</v>
      </c>
      <c r="E15">
        <f t="shared" si="2"/>
        <v>92.688486186046291</v>
      </c>
      <c r="F15">
        <f t="shared" si="3"/>
        <v>2</v>
      </c>
    </row>
    <row r="16" spans="1:8" x14ac:dyDescent="0.2">
      <c r="A16">
        <v>191401191412</v>
      </c>
      <c r="B16">
        <v>397.58</v>
      </c>
      <c r="C16">
        <f t="shared" si="0"/>
        <v>1914</v>
      </c>
      <c r="D16">
        <f t="shared" si="1"/>
        <v>397.58</v>
      </c>
      <c r="E16">
        <f t="shared" si="2"/>
        <v>59.935087155970201</v>
      </c>
      <c r="F16">
        <f t="shared" si="3"/>
        <v>3</v>
      </c>
    </row>
    <row r="17" spans="1:6" x14ac:dyDescent="0.2">
      <c r="A17">
        <v>191501191512</v>
      </c>
      <c r="B17">
        <v>601.48</v>
      </c>
      <c r="C17">
        <f t="shared" si="0"/>
        <v>1915</v>
      </c>
      <c r="D17">
        <f t="shared" si="1"/>
        <v>601.48</v>
      </c>
      <c r="E17">
        <f t="shared" si="2"/>
        <v>90.672961976389558</v>
      </c>
      <c r="F17">
        <f t="shared" si="3"/>
        <v>4</v>
      </c>
    </row>
    <row r="18" spans="1:6" x14ac:dyDescent="0.2">
      <c r="A18">
        <v>191601191612</v>
      </c>
      <c r="B18">
        <v>794.98</v>
      </c>
      <c r="C18">
        <f t="shared" si="0"/>
        <v>1916</v>
      </c>
      <c r="D18">
        <f t="shared" si="1"/>
        <v>794.98</v>
      </c>
      <c r="E18">
        <f t="shared" si="2"/>
        <v>119.84303935623824</v>
      </c>
      <c r="F18">
        <f t="shared" si="3"/>
        <v>0</v>
      </c>
    </row>
    <row r="19" spans="1:6" x14ac:dyDescent="0.2">
      <c r="A19">
        <v>191701191712</v>
      </c>
      <c r="B19">
        <v>824.17</v>
      </c>
      <c r="C19">
        <f t="shared" si="0"/>
        <v>1917</v>
      </c>
      <c r="D19">
        <f t="shared" si="1"/>
        <v>824.17</v>
      </c>
      <c r="E19">
        <f t="shared" si="2"/>
        <v>124.24342467260921</v>
      </c>
      <c r="F19">
        <f t="shared" si="3"/>
        <v>0</v>
      </c>
    </row>
    <row r="20" spans="1:6" x14ac:dyDescent="0.2">
      <c r="A20">
        <v>191801191812</v>
      </c>
      <c r="B20">
        <v>639.97</v>
      </c>
      <c r="C20">
        <f t="shared" si="0"/>
        <v>1918</v>
      </c>
      <c r="D20">
        <f t="shared" si="1"/>
        <v>639.97</v>
      </c>
      <c r="E20">
        <f t="shared" si="2"/>
        <v>96.475320004040071</v>
      </c>
      <c r="F20">
        <f t="shared" si="3"/>
        <v>1</v>
      </c>
    </row>
    <row r="21" spans="1:6" x14ac:dyDescent="0.2">
      <c r="A21">
        <v>191901191912</v>
      </c>
      <c r="B21">
        <v>592.42999999999995</v>
      </c>
      <c r="C21">
        <f t="shared" si="0"/>
        <v>1919</v>
      </c>
      <c r="D21">
        <f t="shared" si="1"/>
        <v>592.42999999999995</v>
      </c>
      <c r="E21">
        <f t="shared" si="2"/>
        <v>89.308676703585249</v>
      </c>
      <c r="F21">
        <f t="shared" si="3"/>
        <v>2</v>
      </c>
    </row>
    <row r="22" spans="1:6" x14ac:dyDescent="0.2">
      <c r="A22">
        <v>192001192012</v>
      </c>
      <c r="B22">
        <v>660.05</v>
      </c>
      <c r="C22">
        <f t="shared" si="0"/>
        <v>1920</v>
      </c>
      <c r="D22">
        <f t="shared" si="1"/>
        <v>660.05</v>
      </c>
      <c r="E22">
        <f t="shared" si="2"/>
        <v>99.502375062372678</v>
      </c>
      <c r="F22">
        <f t="shared" si="3"/>
        <v>3</v>
      </c>
    </row>
    <row r="23" spans="1:6" x14ac:dyDescent="0.2">
      <c r="A23">
        <v>192101192112</v>
      </c>
      <c r="B23">
        <v>680.14</v>
      </c>
      <c r="C23">
        <f t="shared" si="0"/>
        <v>1921</v>
      </c>
      <c r="D23">
        <f t="shared" si="1"/>
        <v>680.14</v>
      </c>
      <c r="E23">
        <f t="shared" si="2"/>
        <v>102.53093761824432</v>
      </c>
      <c r="F23">
        <f t="shared" si="3"/>
        <v>0</v>
      </c>
    </row>
    <row r="24" spans="1:6" x14ac:dyDescent="0.2">
      <c r="A24">
        <v>192201192212</v>
      </c>
      <c r="B24">
        <v>563.16999999999996</v>
      </c>
      <c r="C24">
        <f t="shared" si="0"/>
        <v>1922</v>
      </c>
      <c r="D24">
        <f t="shared" si="1"/>
        <v>563.16999999999996</v>
      </c>
      <c r="E24">
        <f t="shared" si="2"/>
        <v>84.897738904441226</v>
      </c>
      <c r="F24">
        <f t="shared" si="3"/>
        <v>1</v>
      </c>
    </row>
    <row r="25" spans="1:6" x14ac:dyDescent="0.2">
      <c r="A25">
        <v>192301192312</v>
      </c>
      <c r="B25">
        <v>674.22</v>
      </c>
      <c r="C25">
        <f t="shared" si="0"/>
        <v>1923</v>
      </c>
      <c r="D25">
        <f t="shared" si="1"/>
        <v>674.22</v>
      </c>
      <c r="E25">
        <f t="shared" si="2"/>
        <v>101.63849907515026</v>
      </c>
      <c r="F25">
        <f t="shared" si="3"/>
        <v>0</v>
      </c>
    </row>
    <row r="26" spans="1:6" x14ac:dyDescent="0.2">
      <c r="A26">
        <v>192401192412</v>
      </c>
      <c r="B26">
        <v>756.97</v>
      </c>
      <c r="C26">
        <f t="shared" si="0"/>
        <v>1924</v>
      </c>
      <c r="D26">
        <f t="shared" si="1"/>
        <v>756.97</v>
      </c>
      <c r="E26">
        <f t="shared" si="2"/>
        <v>114.1130412104602</v>
      </c>
      <c r="F26">
        <f t="shared" si="3"/>
        <v>0</v>
      </c>
    </row>
    <row r="27" spans="1:6" x14ac:dyDescent="0.2">
      <c r="A27">
        <v>192501192512</v>
      </c>
      <c r="B27">
        <v>534.19000000000005</v>
      </c>
      <c r="C27">
        <f t="shared" si="0"/>
        <v>1925</v>
      </c>
      <c r="D27">
        <f t="shared" si="1"/>
        <v>534.19000000000005</v>
      </c>
      <c r="E27">
        <f t="shared" si="2"/>
        <v>80.529011036389477</v>
      </c>
      <c r="F27">
        <f t="shared" si="3"/>
        <v>1</v>
      </c>
    </row>
    <row r="28" spans="1:6" x14ac:dyDescent="0.2">
      <c r="A28">
        <v>192601192612</v>
      </c>
      <c r="B28">
        <v>596.97</v>
      </c>
      <c r="C28">
        <f t="shared" si="0"/>
        <v>1926</v>
      </c>
      <c r="D28">
        <f t="shared" si="1"/>
        <v>596.97</v>
      </c>
      <c r="E28">
        <f t="shared" si="2"/>
        <v>89.993080586295932</v>
      </c>
      <c r="F28">
        <f t="shared" si="3"/>
        <v>2</v>
      </c>
    </row>
    <row r="29" spans="1:6" x14ac:dyDescent="0.2">
      <c r="A29">
        <v>192701192712</v>
      </c>
      <c r="B29">
        <v>493.63</v>
      </c>
      <c r="C29">
        <f t="shared" si="0"/>
        <v>1927</v>
      </c>
      <c r="D29">
        <f t="shared" si="1"/>
        <v>493.63</v>
      </c>
      <c r="E29">
        <f t="shared" si="2"/>
        <v>74.414601018163822</v>
      </c>
      <c r="F29">
        <f t="shared" si="3"/>
        <v>3</v>
      </c>
    </row>
    <row r="30" spans="1:6" x14ac:dyDescent="0.2">
      <c r="A30">
        <v>192801192812</v>
      </c>
      <c r="B30">
        <v>677.7</v>
      </c>
      <c r="C30">
        <f t="shared" si="0"/>
        <v>1928</v>
      </c>
      <c r="D30">
        <f t="shared" si="1"/>
        <v>677.7</v>
      </c>
      <c r="E30">
        <f t="shared" si="2"/>
        <v>102.16310821872582</v>
      </c>
      <c r="F30">
        <f t="shared" si="3"/>
        <v>0</v>
      </c>
    </row>
    <row r="31" spans="1:6" x14ac:dyDescent="0.2">
      <c r="A31">
        <v>192901192912</v>
      </c>
      <c r="B31">
        <v>564.04999999999995</v>
      </c>
      <c r="C31">
        <f t="shared" si="0"/>
        <v>1929</v>
      </c>
      <c r="D31">
        <f t="shared" si="1"/>
        <v>564.04999999999995</v>
      </c>
      <c r="E31">
        <f t="shared" si="2"/>
        <v>85.030398687874126</v>
      </c>
      <c r="F31">
        <f t="shared" si="3"/>
        <v>1</v>
      </c>
    </row>
    <row r="32" spans="1:6" x14ac:dyDescent="0.2">
      <c r="A32">
        <v>193001193012</v>
      </c>
      <c r="B32">
        <v>666.89</v>
      </c>
      <c r="C32">
        <f t="shared" si="0"/>
        <v>1930</v>
      </c>
      <c r="D32">
        <f t="shared" si="1"/>
        <v>666.89</v>
      </c>
      <c r="E32">
        <f t="shared" si="2"/>
        <v>100.53350337905572</v>
      </c>
      <c r="F32">
        <f t="shared" si="3"/>
        <v>0</v>
      </c>
    </row>
    <row r="33" spans="1:6" x14ac:dyDescent="0.2">
      <c r="A33">
        <v>193101193112</v>
      </c>
      <c r="B33">
        <v>687.19</v>
      </c>
      <c r="C33">
        <f t="shared" si="0"/>
        <v>1931</v>
      </c>
      <c r="D33">
        <f t="shared" si="1"/>
        <v>687.19</v>
      </c>
      <c r="E33">
        <f t="shared" si="2"/>
        <v>103.59372338324657</v>
      </c>
      <c r="F33">
        <f t="shared" si="3"/>
        <v>0</v>
      </c>
    </row>
    <row r="34" spans="1:6" x14ac:dyDescent="0.2">
      <c r="A34">
        <v>193201193212</v>
      </c>
      <c r="B34">
        <v>686.72</v>
      </c>
      <c r="C34">
        <f t="shared" si="0"/>
        <v>1932</v>
      </c>
      <c r="D34">
        <f t="shared" si="1"/>
        <v>686.72</v>
      </c>
      <c r="E34">
        <f t="shared" si="2"/>
        <v>103.52287099891309</v>
      </c>
      <c r="F34">
        <f t="shared" si="3"/>
        <v>0</v>
      </c>
    </row>
    <row r="35" spans="1:6" x14ac:dyDescent="0.2">
      <c r="A35">
        <v>193301193312</v>
      </c>
      <c r="B35">
        <v>635.75</v>
      </c>
      <c r="C35">
        <f t="shared" si="0"/>
        <v>1933</v>
      </c>
      <c r="D35">
        <f t="shared" si="1"/>
        <v>635.75</v>
      </c>
      <c r="E35">
        <f t="shared" si="2"/>
        <v>95.839156042577741</v>
      </c>
      <c r="F35">
        <f t="shared" si="3"/>
        <v>1</v>
      </c>
    </row>
    <row r="36" spans="1:6" x14ac:dyDescent="0.2">
      <c r="A36">
        <v>193401193412</v>
      </c>
      <c r="B36">
        <v>723.17</v>
      </c>
      <c r="C36">
        <f t="shared" si="0"/>
        <v>1934</v>
      </c>
      <c r="D36">
        <f t="shared" si="1"/>
        <v>723.17</v>
      </c>
      <c r="E36">
        <f t="shared" si="2"/>
        <v>109.01769952860549</v>
      </c>
      <c r="F36">
        <f t="shared" si="3"/>
        <v>0</v>
      </c>
    </row>
    <row r="37" spans="1:6" x14ac:dyDescent="0.2">
      <c r="A37">
        <v>193501193512</v>
      </c>
      <c r="B37">
        <v>690.47</v>
      </c>
      <c r="C37">
        <f t="shared" si="0"/>
        <v>1935</v>
      </c>
      <c r="D37">
        <f t="shared" si="1"/>
        <v>690.47</v>
      </c>
      <c r="E37">
        <f t="shared" si="2"/>
        <v>104.08818257604193</v>
      </c>
      <c r="F37">
        <f t="shared" si="3"/>
        <v>0</v>
      </c>
    </row>
    <row r="38" spans="1:6" x14ac:dyDescent="0.2">
      <c r="A38">
        <v>193601193612</v>
      </c>
      <c r="B38">
        <v>672.57</v>
      </c>
      <c r="C38">
        <f t="shared" si="0"/>
        <v>1936</v>
      </c>
      <c r="D38">
        <f t="shared" si="1"/>
        <v>672.57</v>
      </c>
      <c r="E38">
        <f t="shared" si="2"/>
        <v>101.38976198121357</v>
      </c>
      <c r="F38">
        <f t="shared" si="3"/>
        <v>0</v>
      </c>
    </row>
    <row r="39" spans="1:6" x14ac:dyDescent="0.2">
      <c r="A39">
        <v>193701193712</v>
      </c>
      <c r="B39">
        <v>536</v>
      </c>
      <c r="C39">
        <f t="shared" si="0"/>
        <v>1937</v>
      </c>
      <c r="D39">
        <f t="shared" si="1"/>
        <v>536</v>
      </c>
      <c r="E39">
        <f t="shared" si="2"/>
        <v>80.801868090950322</v>
      </c>
      <c r="F39">
        <f t="shared" si="3"/>
        <v>1</v>
      </c>
    </row>
    <row r="40" spans="1:6" x14ac:dyDescent="0.2">
      <c r="A40">
        <v>193801193812</v>
      </c>
      <c r="B40">
        <v>419.65</v>
      </c>
      <c r="C40">
        <f t="shared" si="0"/>
        <v>1938</v>
      </c>
      <c r="D40">
        <f t="shared" si="1"/>
        <v>419.65</v>
      </c>
      <c r="E40">
        <f t="shared" si="2"/>
        <v>63.26213422456587</v>
      </c>
      <c r="F40">
        <f t="shared" si="3"/>
        <v>2</v>
      </c>
    </row>
    <row r="41" spans="1:6" x14ac:dyDescent="0.2">
      <c r="A41">
        <v>193901193912</v>
      </c>
      <c r="B41">
        <v>794.25</v>
      </c>
      <c r="C41">
        <f t="shared" si="0"/>
        <v>1939</v>
      </c>
      <c r="D41">
        <f t="shared" si="1"/>
        <v>794.25</v>
      </c>
      <c r="E41">
        <f t="shared" si="2"/>
        <v>119.73299203589048</v>
      </c>
      <c r="F41">
        <f t="shared" si="3"/>
        <v>0</v>
      </c>
    </row>
    <row r="42" spans="1:6" x14ac:dyDescent="0.2">
      <c r="A42">
        <v>194001194012</v>
      </c>
      <c r="B42">
        <v>439.09</v>
      </c>
      <c r="C42">
        <f t="shared" si="0"/>
        <v>1940</v>
      </c>
      <c r="D42">
        <f t="shared" si="1"/>
        <v>439.09</v>
      </c>
      <c r="E42">
        <f t="shared" si="2"/>
        <v>66.192709440401813</v>
      </c>
      <c r="F42">
        <f t="shared" si="3"/>
        <v>1</v>
      </c>
    </row>
    <row r="43" spans="1:6" x14ac:dyDescent="0.2">
      <c r="A43">
        <v>194101194112</v>
      </c>
      <c r="B43">
        <v>636.32000000000005</v>
      </c>
      <c r="C43">
        <f t="shared" si="0"/>
        <v>1941</v>
      </c>
      <c r="D43">
        <f t="shared" si="1"/>
        <v>636.32000000000005</v>
      </c>
      <c r="E43">
        <f t="shared" si="2"/>
        <v>95.92508340230134</v>
      </c>
      <c r="F43">
        <f t="shared" si="3"/>
        <v>2</v>
      </c>
    </row>
    <row r="44" spans="1:6" x14ac:dyDescent="0.2">
      <c r="A44">
        <v>194201194212</v>
      </c>
      <c r="B44">
        <v>698.5</v>
      </c>
      <c r="C44">
        <f t="shared" si="0"/>
        <v>1942</v>
      </c>
      <c r="D44">
        <f t="shared" si="1"/>
        <v>698.5</v>
      </c>
      <c r="E44">
        <f t="shared" si="2"/>
        <v>105.29870309986717</v>
      </c>
      <c r="F44">
        <f t="shared" si="3"/>
        <v>0</v>
      </c>
    </row>
    <row r="45" spans="1:6" x14ac:dyDescent="0.2">
      <c r="A45">
        <v>194301194312</v>
      </c>
      <c r="B45">
        <v>519.66</v>
      </c>
      <c r="C45">
        <f t="shared" si="0"/>
        <v>1943</v>
      </c>
      <c r="D45">
        <f t="shared" si="1"/>
        <v>519.66</v>
      </c>
      <c r="E45">
        <f t="shared" si="2"/>
        <v>78.338617112207544</v>
      </c>
      <c r="F45">
        <f t="shared" si="3"/>
        <v>1</v>
      </c>
    </row>
    <row r="46" spans="1:6" x14ac:dyDescent="0.2">
      <c r="A46">
        <v>194401194412</v>
      </c>
      <c r="B46">
        <v>444.03</v>
      </c>
      <c r="C46">
        <f t="shared" si="0"/>
        <v>1944</v>
      </c>
      <c r="D46">
        <f t="shared" si="1"/>
        <v>444.03</v>
      </c>
      <c r="E46">
        <f t="shared" si="2"/>
        <v>66.937413224672895</v>
      </c>
      <c r="F46">
        <f t="shared" si="3"/>
        <v>2</v>
      </c>
    </row>
    <row r="47" spans="1:6" x14ac:dyDescent="0.2">
      <c r="A47">
        <v>194501194512</v>
      </c>
      <c r="B47">
        <v>541.64</v>
      </c>
      <c r="C47">
        <f t="shared" si="0"/>
        <v>1945</v>
      </c>
      <c r="D47">
        <f t="shared" si="1"/>
        <v>541.64</v>
      </c>
      <c r="E47">
        <f t="shared" si="2"/>
        <v>81.652096702952122</v>
      </c>
      <c r="F47">
        <f t="shared" si="3"/>
        <v>3</v>
      </c>
    </row>
    <row r="48" spans="1:6" x14ac:dyDescent="0.2">
      <c r="A48">
        <v>194601194612</v>
      </c>
      <c r="B48">
        <v>761.3</v>
      </c>
      <c r="C48">
        <f t="shared" si="0"/>
        <v>1946</v>
      </c>
      <c r="D48">
        <f t="shared" si="1"/>
        <v>761.3</v>
      </c>
      <c r="E48">
        <f t="shared" si="2"/>
        <v>114.76578764485164</v>
      </c>
      <c r="F48">
        <f t="shared" si="3"/>
        <v>0</v>
      </c>
    </row>
    <row r="49" spans="1:6" x14ac:dyDescent="0.2">
      <c r="A49">
        <v>194701194712</v>
      </c>
      <c r="B49">
        <v>739.66</v>
      </c>
      <c r="C49">
        <f t="shared" si="0"/>
        <v>1947</v>
      </c>
      <c r="D49">
        <f t="shared" si="1"/>
        <v>739.66</v>
      </c>
      <c r="E49">
        <f t="shared" si="2"/>
        <v>111.50356297043342</v>
      </c>
      <c r="F49">
        <f t="shared" si="3"/>
        <v>0</v>
      </c>
    </row>
    <row r="50" spans="1:6" x14ac:dyDescent="0.2">
      <c r="A50">
        <v>194801194812</v>
      </c>
      <c r="B50">
        <v>620.16999999999996</v>
      </c>
      <c r="C50">
        <f t="shared" si="0"/>
        <v>1948</v>
      </c>
      <c r="D50">
        <f t="shared" si="1"/>
        <v>620.16999999999996</v>
      </c>
      <c r="E50">
        <f t="shared" si="2"/>
        <v>93.490474876799752</v>
      </c>
      <c r="F50">
        <f t="shared" si="3"/>
        <v>1</v>
      </c>
    </row>
    <row r="51" spans="1:6" x14ac:dyDescent="0.2">
      <c r="A51">
        <v>194901194912</v>
      </c>
      <c r="B51">
        <v>673.71</v>
      </c>
      <c r="C51">
        <f t="shared" si="0"/>
        <v>1949</v>
      </c>
      <c r="D51">
        <f t="shared" si="1"/>
        <v>673.71</v>
      </c>
      <c r="E51">
        <f t="shared" si="2"/>
        <v>101.56161670066072</v>
      </c>
      <c r="F51">
        <f t="shared" si="3"/>
        <v>0</v>
      </c>
    </row>
    <row r="52" spans="1:6" x14ac:dyDescent="0.2">
      <c r="A52">
        <v>195001195012</v>
      </c>
      <c r="B52">
        <v>701.49</v>
      </c>
      <c r="C52">
        <f t="shared" si="0"/>
        <v>1950</v>
      </c>
      <c r="D52">
        <f t="shared" si="1"/>
        <v>701.49</v>
      </c>
      <c r="E52">
        <f t="shared" si="2"/>
        <v>105.74944486403123</v>
      </c>
      <c r="F52">
        <f t="shared" si="3"/>
        <v>0</v>
      </c>
    </row>
    <row r="53" spans="1:6" x14ac:dyDescent="0.2">
      <c r="A53">
        <v>195101195112</v>
      </c>
      <c r="B53">
        <v>740.29</v>
      </c>
      <c r="C53">
        <f t="shared" si="0"/>
        <v>1951</v>
      </c>
      <c r="D53">
        <f t="shared" si="1"/>
        <v>740.29</v>
      </c>
      <c r="E53">
        <f t="shared" si="2"/>
        <v>111.59853531539108</v>
      </c>
      <c r="F53">
        <f t="shared" si="3"/>
        <v>0</v>
      </c>
    </row>
    <row r="54" spans="1:6" x14ac:dyDescent="0.2">
      <c r="A54">
        <v>195201195212</v>
      </c>
      <c r="B54">
        <v>879.22</v>
      </c>
      <c r="C54">
        <f t="shared" si="0"/>
        <v>1952</v>
      </c>
      <c r="D54">
        <f t="shared" si="1"/>
        <v>879.22</v>
      </c>
      <c r="E54">
        <f t="shared" si="2"/>
        <v>132.54219862486073</v>
      </c>
      <c r="F54">
        <f t="shared" si="3"/>
        <v>0</v>
      </c>
    </row>
    <row r="55" spans="1:6" x14ac:dyDescent="0.2">
      <c r="A55">
        <v>195301195312</v>
      </c>
      <c r="B55">
        <v>674.35</v>
      </c>
      <c r="C55">
        <f t="shared" si="0"/>
        <v>1953</v>
      </c>
      <c r="D55">
        <f t="shared" si="1"/>
        <v>674.35</v>
      </c>
      <c r="E55">
        <f t="shared" si="2"/>
        <v>101.65809654315738</v>
      </c>
      <c r="F55">
        <f t="shared" si="3"/>
        <v>0</v>
      </c>
    </row>
    <row r="56" spans="1:6" x14ac:dyDescent="0.2">
      <c r="A56">
        <v>195401195412</v>
      </c>
      <c r="B56">
        <v>660.89</v>
      </c>
      <c r="C56">
        <f t="shared" si="0"/>
        <v>1954</v>
      </c>
      <c r="D56">
        <f t="shared" si="1"/>
        <v>660.89</v>
      </c>
      <c r="E56">
        <f t="shared" si="2"/>
        <v>99.629004855649555</v>
      </c>
      <c r="F56">
        <f t="shared" si="3"/>
        <v>1</v>
      </c>
    </row>
    <row r="57" spans="1:6" x14ac:dyDescent="0.2">
      <c r="A57">
        <v>195501195512</v>
      </c>
      <c r="B57">
        <v>793.64</v>
      </c>
      <c r="C57">
        <f t="shared" si="0"/>
        <v>1955</v>
      </c>
      <c r="D57">
        <f t="shared" si="1"/>
        <v>793.64</v>
      </c>
      <c r="E57">
        <f t="shared" si="2"/>
        <v>119.64103468601085</v>
      </c>
      <c r="F57">
        <f t="shared" si="3"/>
        <v>0</v>
      </c>
    </row>
    <row r="58" spans="1:6" x14ac:dyDescent="0.2">
      <c r="A58">
        <v>195601195612</v>
      </c>
      <c r="B58">
        <v>905.07</v>
      </c>
      <c r="C58">
        <f t="shared" si="0"/>
        <v>1956</v>
      </c>
      <c r="D58">
        <f t="shared" si="1"/>
        <v>905.07</v>
      </c>
      <c r="E58">
        <f t="shared" si="2"/>
        <v>136.43907976320227</v>
      </c>
      <c r="F58">
        <f t="shared" si="3"/>
        <v>0</v>
      </c>
    </row>
    <row r="59" spans="1:6" x14ac:dyDescent="0.2">
      <c r="A59">
        <v>195701195712</v>
      </c>
      <c r="B59">
        <v>553.61</v>
      </c>
      <c r="C59">
        <f t="shared" si="0"/>
        <v>1957</v>
      </c>
      <c r="D59">
        <f t="shared" si="1"/>
        <v>553.61</v>
      </c>
      <c r="E59">
        <f t="shared" si="2"/>
        <v>83.456571257147417</v>
      </c>
      <c r="F59">
        <f t="shared" si="3"/>
        <v>1</v>
      </c>
    </row>
    <row r="60" spans="1:6" x14ac:dyDescent="0.2">
      <c r="A60">
        <v>195801195812</v>
      </c>
      <c r="B60">
        <v>687.96</v>
      </c>
      <c r="C60">
        <f t="shared" si="0"/>
        <v>1958</v>
      </c>
      <c r="D60">
        <f t="shared" si="1"/>
        <v>687.96</v>
      </c>
      <c r="E60">
        <f t="shared" si="2"/>
        <v>103.70980069375035</v>
      </c>
      <c r="F60">
        <f t="shared" si="3"/>
        <v>0</v>
      </c>
    </row>
    <row r="61" spans="1:6" x14ac:dyDescent="0.2">
      <c r="A61">
        <v>195901195912</v>
      </c>
      <c r="B61">
        <v>586.21</v>
      </c>
      <c r="C61">
        <f t="shared" si="0"/>
        <v>1959</v>
      </c>
      <c r="D61">
        <f t="shared" si="1"/>
        <v>586.21</v>
      </c>
      <c r="E61">
        <f t="shared" si="2"/>
        <v>88.371013234320884</v>
      </c>
      <c r="F61">
        <f t="shared" si="3"/>
        <v>1</v>
      </c>
    </row>
    <row r="62" spans="1:6" x14ac:dyDescent="0.2">
      <c r="A62">
        <v>196001196012</v>
      </c>
      <c r="B62">
        <v>796.29</v>
      </c>
      <c r="C62">
        <f t="shared" si="0"/>
        <v>1960</v>
      </c>
      <c r="D62">
        <f t="shared" si="1"/>
        <v>796.29</v>
      </c>
      <c r="E62">
        <f t="shared" si="2"/>
        <v>120.04052153384856</v>
      </c>
      <c r="F62">
        <f t="shared" si="3"/>
        <v>0</v>
      </c>
    </row>
    <row r="63" spans="1:6" x14ac:dyDescent="0.2">
      <c r="A63">
        <v>196101196112</v>
      </c>
      <c r="B63">
        <v>587.77</v>
      </c>
      <c r="C63">
        <f t="shared" si="0"/>
        <v>1961</v>
      </c>
      <c r="D63">
        <f t="shared" si="1"/>
        <v>587.77</v>
      </c>
      <c r="E63">
        <f t="shared" si="2"/>
        <v>88.606182850406483</v>
      </c>
      <c r="F63">
        <f t="shared" si="3"/>
        <v>1</v>
      </c>
    </row>
    <row r="64" spans="1:6" x14ac:dyDescent="0.2">
      <c r="A64">
        <v>196201196212</v>
      </c>
      <c r="B64">
        <v>628.05999999999995</v>
      </c>
      <c r="C64">
        <f t="shared" si="0"/>
        <v>1962</v>
      </c>
      <c r="D64">
        <f t="shared" si="1"/>
        <v>628.05999999999995</v>
      </c>
      <c r="E64">
        <f t="shared" si="2"/>
        <v>94.679890435078846</v>
      </c>
      <c r="F64">
        <f t="shared" si="3"/>
        <v>2</v>
      </c>
    </row>
    <row r="65" spans="1:6" x14ac:dyDescent="0.2">
      <c r="A65">
        <v>196301196312</v>
      </c>
      <c r="B65">
        <v>667.38</v>
      </c>
      <c r="C65">
        <f t="shared" si="0"/>
        <v>1963</v>
      </c>
      <c r="D65">
        <f t="shared" si="1"/>
        <v>667.38</v>
      </c>
      <c r="E65">
        <f t="shared" si="2"/>
        <v>100.60737075846721</v>
      </c>
      <c r="F65">
        <f t="shared" si="3"/>
        <v>0</v>
      </c>
    </row>
    <row r="66" spans="1:6" x14ac:dyDescent="0.2">
      <c r="A66">
        <v>196401196412</v>
      </c>
      <c r="B66">
        <v>782.9</v>
      </c>
      <c r="C66">
        <f t="shared" si="0"/>
        <v>1964</v>
      </c>
      <c r="D66">
        <f t="shared" si="1"/>
        <v>782.9</v>
      </c>
      <c r="E66">
        <f t="shared" si="2"/>
        <v>118.02198232911383</v>
      </c>
      <c r="F66">
        <f t="shared" si="3"/>
        <v>0</v>
      </c>
    </row>
    <row r="67" spans="1:6" x14ac:dyDescent="0.2">
      <c r="A67">
        <v>196501196512</v>
      </c>
      <c r="B67">
        <v>532.63</v>
      </c>
      <c r="C67">
        <f t="shared" ref="C67:C127" si="4">INT(A67/100000000)</f>
        <v>1965</v>
      </c>
      <c r="D67">
        <f t="shared" ref="D67:D127" si="5">B67</f>
        <v>532.63</v>
      </c>
      <c r="E67">
        <f t="shared" ref="E67:E127" si="6">D67 / $G$2 * 100</f>
        <v>80.293841420303863</v>
      </c>
      <c r="F67">
        <f t="shared" si="3"/>
        <v>1</v>
      </c>
    </row>
    <row r="68" spans="1:6" x14ac:dyDescent="0.2">
      <c r="A68">
        <v>196601196612</v>
      </c>
      <c r="B68">
        <v>713.29</v>
      </c>
      <c r="C68">
        <f t="shared" si="4"/>
        <v>1966</v>
      </c>
      <c r="D68">
        <f t="shared" si="5"/>
        <v>713.29</v>
      </c>
      <c r="E68">
        <f t="shared" si="6"/>
        <v>107.52829196006334</v>
      </c>
      <c r="F68">
        <f t="shared" ref="F68:F127" si="7">IF(E68&lt;100, F67+1, 0)</f>
        <v>0</v>
      </c>
    </row>
    <row r="69" spans="1:6" x14ac:dyDescent="0.2">
      <c r="A69">
        <v>196701196712</v>
      </c>
      <c r="B69">
        <v>368.38</v>
      </c>
      <c r="C69">
        <f t="shared" si="4"/>
        <v>1967</v>
      </c>
      <c r="D69">
        <f t="shared" si="5"/>
        <v>368.38</v>
      </c>
      <c r="E69">
        <f t="shared" si="6"/>
        <v>55.53319434206022</v>
      </c>
      <c r="F69">
        <f t="shared" si="7"/>
        <v>1</v>
      </c>
    </row>
    <row r="70" spans="1:6" x14ac:dyDescent="0.2">
      <c r="A70">
        <v>196801196812</v>
      </c>
      <c r="B70">
        <v>709.09</v>
      </c>
      <c r="C70">
        <f t="shared" si="4"/>
        <v>1968</v>
      </c>
      <c r="D70">
        <f t="shared" si="5"/>
        <v>709.09</v>
      </c>
      <c r="E70">
        <f t="shared" si="6"/>
        <v>106.89514299367906</v>
      </c>
      <c r="F70">
        <f t="shared" si="7"/>
        <v>0</v>
      </c>
    </row>
    <row r="71" spans="1:6" x14ac:dyDescent="0.2">
      <c r="A71">
        <v>196901196912</v>
      </c>
      <c r="B71">
        <v>657.16</v>
      </c>
      <c r="C71">
        <f t="shared" si="4"/>
        <v>1969</v>
      </c>
      <c r="D71">
        <f t="shared" si="5"/>
        <v>657.16</v>
      </c>
      <c r="E71">
        <f t="shared" si="6"/>
        <v>99.066708273598721</v>
      </c>
      <c r="F71">
        <f t="shared" si="7"/>
        <v>1</v>
      </c>
    </row>
    <row r="72" spans="1:6" x14ac:dyDescent="0.2">
      <c r="A72">
        <v>197001197012</v>
      </c>
      <c r="B72">
        <v>788.3</v>
      </c>
      <c r="C72">
        <f t="shared" si="4"/>
        <v>1970</v>
      </c>
      <c r="D72">
        <f t="shared" si="5"/>
        <v>788.3</v>
      </c>
      <c r="E72">
        <f t="shared" si="6"/>
        <v>118.83603100017936</v>
      </c>
      <c r="F72">
        <f t="shared" si="7"/>
        <v>0</v>
      </c>
    </row>
    <row r="73" spans="1:6" x14ac:dyDescent="0.2">
      <c r="A73">
        <v>197101197112</v>
      </c>
      <c r="B73">
        <v>749.07</v>
      </c>
      <c r="C73">
        <f t="shared" si="4"/>
        <v>1971</v>
      </c>
      <c r="D73">
        <f t="shared" si="5"/>
        <v>749.07</v>
      </c>
      <c r="E73">
        <f t="shared" si="6"/>
        <v>112.92211815464211</v>
      </c>
      <c r="F73">
        <f t="shared" si="7"/>
        <v>0</v>
      </c>
    </row>
    <row r="74" spans="1:6" x14ac:dyDescent="0.2">
      <c r="A74">
        <v>197201197212</v>
      </c>
      <c r="B74">
        <v>485.45</v>
      </c>
      <c r="C74">
        <f t="shared" si="4"/>
        <v>1972</v>
      </c>
      <c r="D74">
        <f t="shared" si="5"/>
        <v>485.45</v>
      </c>
      <c r="E74">
        <f t="shared" si="6"/>
        <v>73.181468031253431</v>
      </c>
      <c r="F74">
        <f t="shared" si="7"/>
        <v>1</v>
      </c>
    </row>
    <row r="75" spans="1:6" x14ac:dyDescent="0.2">
      <c r="A75">
        <v>197301197312</v>
      </c>
      <c r="B75">
        <v>898.37</v>
      </c>
      <c r="C75">
        <f t="shared" si="4"/>
        <v>1973</v>
      </c>
      <c r="D75">
        <f t="shared" si="5"/>
        <v>898.37</v>
      </c>
      <c r="E75">
        <f t="shared" si="6"/>
        <v>135.42905641206536</v>
      </c>
      <c r="F75">
        <f t="shared" si="7"/>
        <v>0</v>
      </c>
    </row>
    <row r="76" spans="1:6" x14ac:dyDescent="0.2">
      <c r="A76">
        <v>197401197412</v>
      </c>
      <c r="B76">
        <v>905.52</v>
      </c>
      <c r="C76">
        <f t="shared" si="4"/>
        <v>1974</v>
      </c>
      <c r="D76">
        <f t="shared" si="5"/>
        <v>905.52</v>
      </c>
      <c r="E76">
        <f t="shared" si="6"/>
        <v>136.50691715245773</v>
      </c>
      <c r="F76">
        <f t="shared" si="7"/>
        <v>0</v>
      </c>
    </row>
    <row r="77" spans="1:6" x14ac:dyDescent="0.2">
      <c r="A77">
        <v>197501197512</v>
      </c>
      <c r="B77">
        <v>760.13</v>
      </c>
      <c r="C77">
        <f t="shared" si="4"/>
        <v>1975</v>
      </c>
      <c r="D77">
        <f t="shared" si="5"/>
        <v>760.13</v>
      </c>
      <c r="E77">
        <f t="shared" si="6"/>
        <v>114.58941043278745</v>
      </c>
      <c r="F77">
        <f t="shared" si="7"/>
        <v>0</v>
      </c>
    </row>
    <row r="78" spans="1:6" x14ac:dyDescent="0.2">
      <c r="A78">
        <v>197601197612</v>
      </c>
      <c r="B78">
        <v>570.54</v>
      </c>
      <c r="C78">
        <f t="shared" si="4"/>
        <v>1976</v>
      </c>
      <c r="D78">
        <f t="shared" si="5"/>
        <v>570.54</v>
      </c>
      <c r="E78">
        <f t="shared" si="6"/>
        <v>86.008764590691783</v>
      </c>
      <c r="F78">
        <f t="shared" si="7"/>
        <v>1</v>
      </c>
    </row>
    <row r="79" spans="1:6" x14ac:dyDescent="0.2">
      <c r="A79">
        <v>197701197712</v>
      </c>
      <c r="B79">
        <v>547.76</v>
      </c>
      <c r="C79">
        <f t="shared" si="4"/>
        <v>1977</v>
      </c>
      <c r="D79">
        <f t="shared" si="5"/>
        <v>547.76</v>
      </c>
      <c r="E79">
        <f t="shared" si="6"/>
        <v>82.574685196826408</v>
      </c>
      <c r="F79">
        <f t="shared" si="7"/>
        <v>2</v>
      </c>
    </row>
    <row r="80" spans="1:6" x14ac:dyDescent="0.2">
      <c r="A80">
        <v>197801197812</v>
      </c>
      <c r="B80">
        <v>808.84</v>
      </c>
      <c r="C80">
        <f t="shared" si="4"/>
        <v>1978</v>
      </c>
      <c r="D80">
        <f t="shared" si="5"/>
        <v>808.84</v>
      </c>
      <c r="E80">
        <f t="shared" si="6"/>
        <v>121.93243094530646</v>
      </c>
      <c r="F80">
        <f t="shared" si="7"/>
        <v>0</v>
      </c>
    </row>
    <row r="81" spans="1:6" x14ac:dyDescent="0.2">
      <c r="A81">
        <v>197901197912</v>
      </c>
      <c r="B81">
        <v>597.13</v>
      </c>
      <c r="C81">
        <f t="shared" si="4"/>
        <v>1979</v>
      </c>
      <c r="D81">
        <f t="shared" si="5"/>
        <v>597.13</v>
      </c>
      <c r="E81">
        <f t="shared" si="6"/>
        <v>90.017200546920094</v>
      </c>
      <c r="F81">
        <f t="shared" si="7"/>
        <v>1</v>
      </c>
    </row>
    <row r="82" spans="1:6" x14ac:dyDescent="0.2">
      <c r="A82">
        <v>198001198012</v>
      </c>
      <c r="B82">
        <v>613.26</v>
      </c>
      <c r="C82">
        <f t="shared" si="4"/>
        <v>1980</v>
      </c>
      <c r="D82">
        <f t="shared" si="5"/>
        <v>613.26</v>
      </c>
      <c r="E82">
        <f t="shared" si="6"/>
        <v>92.448794077343649</v>
      </c>
      <c r="F82">
        <f t="shared" si="7"/>
        <v>2</v>
      </c>
    </row>
    <row r="83" spans="1:6" x14ac:dyDescent="0.2">
      <c r="A83">
        <v>198101198112</v>
      </c>
      <c r="B83">
        <v>699.86</v>
      </c>
      <c r="C83">
        <f t="shared" si="4"/>
        <v>1981</v>
      </c>
      <c r="D83">
        <f t="shared" si="5"/>
        <v>699.86</v>
      </c>
      <c r="E83">
        <f t="shared" si="6"/>
        <v>105.50372276517257</v>
      </c>
      <c r="F83">
        <f t="shared" si="7"/>
        <v>0</v>
      </c>
    </row>
    <row r="84" spans="1:6" x14ac:dyDescent="0.2">
      <c r="A84">
        <v>198201198212</v>
      </c>
      <c r="B84">
        <v>377.17</v>
      </c>
      <c r="C84">
        <f t="shared" si="4"/>
        <v>1982</v>
      </c>
      <c r="D84">
        <f t="shared" si="5"/>
        <v>377.17</v>
      </c>
      <c r="E84">
        <f t="shared" si="6"/>
        <v>56.858284678850254</v>
      </c>
      <c r="F84">
        <f t="shared" si="7"/>
        <v>1</v>
      </c>
    </row>
    <row r="85" spans="1:6" x14ac:dyDescent="0.2">
      <c r="A85">
        <v>198301198312</v>
      </c>
      <c r="B85">
        <v>756.56</v>
      </c>
      <c r="C85">
        <f t="shared" si="4"/>
        <v>1983</v>
      </c>
      <c r="D85">
        <f t="shared" si="5"/>
        <v>756.56</v>
      </c>
      <c r="E85">
        <f t="shared" si="6"/>
        <v>114.05123381136077</v>
      </c>
      <c r="F85">
        <f t="shared" si="7"/>
        <v>0</v>
      </c>
    </row>
    <row r="86" spans="1:6" x14ac:dyDescent="0.2">
      <c r="A86">
        <v>198401198412</v>
      </c>
      <c r="B86">
        <v>649.09</v>
      </c>
      <c r="C86">
        <f t="shared" si="4"/>
        <v>1984</v>
      </c>
      <c r="D86">
        <f t="shared" si="5"/>
        <v>649.09</v>
      </c>
      <c r="E86">
        <f t="shared" si="6"/>
        <v>97.850157759617446</v>
      </c>
      <c r="F86">
        <f t="shared" si="7"/>
        <v>1</v>
      </c>
    </row>
    <row r="87" spans="1:6" x14ac:dyDescent="0.2">
      <c r="A87">
        <v>198501198512</v>
      </c>
      <c r="B87">
        <v>684.12</v>
      </c>
      <c r="C87">
        <f t="shared" si="4"/>
        <v>1985</v>
      </c>
      <c r="D87">
        <f t="shared" si="5"/>
        <v>684.12</v>
      </c>
      <c r="E87">
        <f t="shared" si="6"/>
        <v>103.1309216387704</v>
      </c>
      <c r="F87">
        <f t="shared" si="7"/>
        <v>0</v>
      </c>
    </row>
    <row r="88" spans="1:6" x14ac:dyDescent="0.2">
      <c r="A88">
        <v>198601198612</v>
      </c>
      <c r="B88">
        <v>661</v>
      </c>
      <c r="C88">
        <f t="shared" si="4"/>
        <v>1986</v>
      </c>
      <c r="D88">
        <f t="shared" si="5"/>
        <v>661</v>
      </c>
      <c r="E88">
        <f t="shared" si="6"/>
        <v>99.645587328578671</v>
      </c>
      <c r="F88">
        <f t="shared" si="7"/>
        <v>1</v>
      </c>
    </row>
    <row r="89" spans="1:6" x14ac:dyDescent="0.2">
      <c r="A89">
        <v>198701198712</v>
      </c>
      <c r="B89">
        <v>624.16</v>
      </c>
      <c r="C89">
        <f t="shared" si="4"/>
        <v>1987</v>
      </c>
      <c r="D89">
        <f t="shared" si="5"/>
        <v>624.16</v>
      </c>
      <c r="E89">
        <f t="shared" si="6"/>
        <v>94.091966394864841</v>
      </c>
      <c r="F89">
        <f t="shared" si="7"/>
        <v>2</v>
      </c>
    </row>
    <row r="90" spans="1:6" x14ac:dyDescent="0.2">
      <c r="A90">
        <v>198801198812</v>
      </c>
      <c r="B90">
        <v>715.75</v>
      </c>
      <c r="C90">
        <f t="shared" si="4"/>
        <v>1988</v>
      </c>
      <c r="D90">
        <f t="shared" si="5"/>
        <v>715.75</v>
      </c>
      <c r="E90">
        <f t="shared" si="6"/>
        <v>107.89913635465989</v>
      </c>
      <c r="F90">
        <f t="shared" si="7"/>
        <v>0</v>
      </c>
    </row>
    <row r="91" spans="1:6" x14ac:dyDescent="0.2">
      <c r="A91">
        <v>198901198912</v>
      </c>
      <c r="B91">
        <v>723.24</v>
      </c>
      <c r="C91">
        <f t="shared" si="4"/>
        <v>1989</v>
      </c>
      <c r="D91">
        <f t="shared" si="5"/>
        <v>723.24</v>
      </c>
      <c r="E91">
        <f t="shared" si="6"/>
        <v>109.02825201137858</v>
      </c>
      <c r="F91">
        <f t="shared" si="7"/>
        <v>0</v>
      </c>
    </row>
    <row r="92" spans="1:6" x14ac:dyDescent="0.2">
      <c r="A92">
        <v>199001199012</v>
      </c>
      <c r="B92">
        <v>638.54999999999995</v>
      </c>
      <c r="C92">
        <f t="shared" si="4"/>
        <v>1990</v>
      </c>
      <c r="D92">
        <f t="shared" si="5"/>
        <v>638.54999999999995</v>
      </c>
      <c r="E92">
        <f t="shared" si="6"/>
        <v>96.261255353500601</v>
      </c>
      <c r="F92">
        <f t="shared" si="7"/>
        <v>1</v>
      </c>
    </row>
    <row r="93" spans="1:6" x14ac:dyDescent="0.2">
      <c r="A93">
        <v>199101199112</v>
      </c>
      <c r="B93">
        <v>664.12</v>
      </c>
      <c r="C93">
        <f t="shared" si="4"/>
        <v>1991</v>
      </c>
      <c r="D93">
        <f t="shared" si="5"/>
        <v>664.12</v>
      </c>
      <c r="E93">
        <f t="shared" si="6"/>
        <v>100.11592656074988</v>
      </c>
      <c r="F93">
        <f t="shared" si="7"/>
        <v>0</v>
      </c>
    </row>
    <row r="94" spans="1:6" x14ac:dyDescent="0.2">
      <c r="A94">
        <v>199201199212</v>
      </c>
      <c r="B94">
        <v>849.32</v>
      </c>
      <c r="C94">
        <f t="shared" si="4"/>
        <v>1992</v>
      </c>
      <c r="D94">
        <f t="shared" si="5"/>
        <v>849.32</v>
      </c>
      <c r="E94">
        <f t="shared" si="6"/>
        <v>128.03478098322003</v>
      </c>
      <c r="F94">
        <f t="shared" si="7"/>
        <v>0</v>
      </c>
    </row>
    <row r="95" spans="1:6" x14ac:dyDescent="0.2">
      <c r="A95">
        <v>199301199312</v>
      </c>
      <c r="B95">
        <v>754.99</v>
      </c>
      <c r="C95">
        <f t="shared" si="4"/>
        <v>1993</v>
      </c>
      <c r="D95">
        <f t="shared" si="5"/>
        <v>754.99</v>
      </c>
      <c r="E95">
        <f t="shared" si="6"/>
        <v>113.81455669773617</v>
      </c>
      <c r="F95">
        <f t="shared" si="7"/>
        <v>0</v>
      </c>
    </row>
    <row r="96" spans="1:6" x14ac:dyDescent="0.2">
      <c r="A96">
        <v>199401199412</v>
      </c>
      <c r="B96">
        <v>489.84</v>
      </c>
      <c r="C96">
        <f t="shared" si="4"/>
        <v>1994</v>
      </c>
      <c r="D96">
        <f t="shared" si="5"/>
        <v>489.84</v>
      </c>
      <c r="E96">
        <f t="shared" si="6"/>
        <v>73.843259450878932</v>
      </c>
      <c r="F96">
        <f t="shared" si="7"/>
        <v>1</v>
      </c>
    </row>
    <row r="97" spans="1:6" x14ac:dyDescent="0.2">
      <c r="A97">
        <v>199501199512</v>
      </c>
      <c r="B97">
        <v>713.38</v>
      </c>
      <c r="C97">
        <f t="shared" si="4"/>
        <v>1995</v>
      </c>
      <c r="D97">
        <f t="shared" si="5"/>
        <v>713.38</v>
      </c>
      <c r="E97">
        <f t="shared" si="6"/>
        <v>107.54185943791445</v>
      </c>
      <c r="F97">
        <f t="shared" si="7"/>
        <v>0</v>
      </c>
    </row>
    <row r="98" spans="1:6" x14ac:dyDescent="0.2">
      <c r="A98">
        <v>199601199612</v>
      </c>
      <c r="B98">
        <v>703.81</v>
      </c>
      <c r="C98">
        <f t="shared" si="4"/>
        <v>1996</v>
      </c>
      <c r="D98">
        <f t="shared" si="5"/>
        <v>703.81</v>
      </c>
      <c r="E98">
        <f t="shared" si="6"/>
        <v>106.09918429308161</v>
      </c>
      <c r="F98">
        <f t="shared" si="7"/>
        <v>0</v>
      </c>
    </row>
    <row r="99" spans="1:6" x14ac:dyDescent="0.2">
      <c r="A99">
        <v>199701199712</v>
      </c>
      <c r="B99">
        <v>463.82</v>
      </c>
      <c r="C99">
        <f t="shared" si="4"/>
        <v>1997</v>
      </c>
      <c r="D99">
        <f t="shared" si="5"/>
        <v>463.82</v>
      </c>
      <c r="E99">
        <f t="shared" si="6"/>
        <v>69.920750854374219</v>
      </c>
      <c r="F99">
        <f t="shared" si="7"/>
        <v>1</v>
      </c>
    </row>
    <row r="100" spans="1:6" x14ac:dyDescent="0.2">
      <c r="A100">
        <v>199801199812</v>
      </c>
      <c r="B100">
        <v>616.05999999999995</v>
      </c>
      <c r="C100">
        <f t="shared" si="4"/>
        <v>1998</v>
      </c>
      <c r="D100">
        <f t="shared" si="5"/>
        <v>616.05999999999995</v>
      </c>
      <c r="E100">
        <f t="shared" si="6"/>
        <v>92.870893388266524</v>
      </c>
      <c r="F100">
        <f t="shared" si="7"/>
        <v>2</v>
      </c>
    </row>
    <row r="101" spans="1:6" x14ac:dyDescent="0.2">
      <c r="A101">
        <v>199901199912</v>
      </c>
      <c r="B101">
        <v>601.75</v>
      </c>
      <c r="C101">
        <f t="shared" si="4"/>
        <v>1999</v>
      </c>
      <c r="D101">
        <f t="shared" si="5"/>
        <v>601.75</v>
      </c>
      <c r="E101">
        <f t="shared" si="6"/>
        <v>90.713664409942837</v>
      </c>
      <c r="F101">
        <f t="shared" si="7"/>
        <v>3</v>
      </c>
    </row>
    <row r="102" spans="1:6" x14ac:dyDescent="0.2">
      <c r="A102">
        <v>200001200012</v>
      </c>
      <c r="B102">
        <v>661.14</v>
      </c>
      <c r="C102">
        <f t="shared" si="4"/>
        <v>2000</v>
      </c>
      <c r="D102">
        <f t="shared" si="5"/>
        <v>661.14</v>
      </c>
      <c r="E102">
        <f t="shared" si="6"/>
        <v>99.666692294124815</v>
      </c>
      <c r="F102">
        <f t="shared" si="7"/>
        <v>4</v>
      </c>
    </row>
    <row r="103" spans="1:6" x14ac:dyDescent="0.2">
      <c r="A103">
        <v>200101200112</v>
      </c>
      <c r="B103">
        <v>617.30999999999995</v>
      </c>
      <c r="C103">
        <f t="shared" si="4"/>
        <v>2001</v>
      </c>
      <c r="D103">
        <f t="shared" si="5"/>
        <v>617.30999999999995</v>
      </c>
      <c r="E103">
        <f t="shared" si="6"/>
        <v>93.059330580642808</v>
      </c>
      <c r="F103">
        <f t="shared" si="7"/>
        <v>5</v>
      </c>
    </row>
    <row r="104" spans="1:6" x14ac:dyDescent="0.2">
      <c r="A104">
        <v>200201200212</v>
      </c>
      <c r="B104">
        <v>464.11</v>
      </c>
      <c r="C104">
        <f t="shared" si="4"/>
        <v>2002</v>
      </c>
      <c r="D104">
        <f t="shared" si="5"/>
        <v>464.11</v>
      </c>
      <c r="E104">
        <f t="shared" si="6"/>
        <v>69.964468283005516</v>
      </c>
      <c r="F104">
        <f t="shared" si="7"/>
        <v>6</v>
      </c>
    </row>
    <row r="105" spans="1:6" x14ac:dyDescent="0.2">
      <c r="A105">
        <v>200301200312</v>
      </c>
      <c r="B105">
        <v>614.82000000000005</v>
      </c>
      <c r="C105">
        <f t="shared" si="4"/>
        <v>2003</v>
      </c>
      <c r="D105">
        <f t="shared" si="5"/>
        <v>614.82000000000005</v>
      </c>
      <c r="E105">
        <f t="shared" si="6"/>
        <v>92.683963693429263</v>
      </c>
      <c r="F105">
        <f t="shared" si="7"/>
        <v>7</v>
      </c>
    </row>
    <row r="106" spans="1:6" x14ac:dyDescent="0.2">
      <c r="A106">
        <v>200401200412</v>
      </c>
      <c r="B106">
        <v>582.33000000000004</v>
      </c>
      <c r="C106">
        <f t="shared" si="4"/>
        <v>2004</v>
      </c>
      <c r="D106">
        <f t="shared" si="5"/>
        <v>582.33000000000004</v>
      </c>
      <c r="E106">
        <f t="shared" si="6"/>
        <v>87.786104189184897</v>
      </c>
      <c r="F106">
        <f t="shared" si="7"/>
        <v>8</v>
      </c>
    </row>
    <row r="107" spans="1:6" x14ac:dyDescent="0.2">
      <c r="A107">
        <v>200501200512</v>
      </c>
      <c r="B107">
        <v>621.97</v>
      </c>
      <c r="C107">
        <f t="shared" si="4"/>
        <v>2005</v>
      </c>
      <c r="D107">
        <f t="shared" si="5"/>
        <v>621.97</v>
      </c>
      <c r="E107">
        <f t="shared" si="6"/>
        <v>93.761824433821602</v>
      </c>
      <c r="F107">
        <f t="shared" si="7"/>
        <v>9</v>
      </c>
    </row>
    <row r="108" spans="1:6" x14ac:dyDescent="0.2">
      <c r="A108">
        <v>200601200612</v>
      </c>
      <c r="B108">
        <v>370.31</v>
      </c>
      <c r="C108">
        <f t="shared" si="4"/>
        <v>2006</v>
      </c>
      <c r="D108">
        <f t="shared" si="5"/>
        <v>370.31</v>
      </c>
      <c r="E108">
        <f t="shared" si="6"/>
        <v>55.824141367089211</v>
      </c>
      <c r="F108">
        <f t="shared" si="7"/>
        <v>10</v>
      </c>
    </row>
    <row r="109" spans="1:6" x14ac:dyDescent="0.2">
      <c r="A109">
        <v>200701200712</v>
      </c>
      <c r="B109">
        <v>618.25</v>
      </c>
      <c r="C109">
        <f t="shared" si="4"/>
        <v>2007</v>
      </c>
      <c r="D109">
        <f t="shared" si="5"/>
        <v>618.25</v>
      </c>
      <c r="E109">
        <f t="shared" si="6"/>
        <v>93.201035349309777</v>
      </c>
      <c r="F109">
        <f t="shared" si="7"/>
        <v>11</v>
      </c>
    </row>
    <row r="110" spans="1:6" x14ac:dyDescent="0.2">
      <c r="A110">
        <v>200801200812</v>
      </c>
      <c r="B110">
        <v>507.86</v>
      </c>
      <c r="C110">
        <f t="shared" si="4"/>
        <v>2008</v>
      </c>
      <c r="D110">
        <f t="shared" si="5"/>
        <v>507.86</v>
      </c>
      <c r="E110">
        <f t="shared" si="6"/>
        <v>76.559770016175435</v>
      </c>
      <c r="F110">
        <f t="shared" si="7"/>
        <v>12</v>
      </c>
    </row>
    <row r="111" spans="1:6" x14ac:dyDescent="0.2">
      <c r="A111">
        <v>200901200912</v>
      </c>
      <c r="B111">
        <v>532.27</v>
      </c>
      <c r="C111">
        <f t="shared" si="4"/>
        <v>2009</v>
      </c>
      <c r="D111">
        <f t="shared" si="5"/>
        <v>532.27</v>
      </c>
      <c r="E111">
        <f t="shared" si="6"/>
        <v>80.239571508899502</v>
      </c>
      <c r="F111">
        <f t="shared" si="7"/>
        <v>13</v>
      </c>
    </row>
    <row r="112" spans="1:6" x14ac:dyDescent="0.2">
      <c r="A112">
        <v>201001201012</v>
      </c>
      <c r="B112">
        <v>852.75</v>
      </c>
      <c r="C112">
        <f t="shared" si="4"/>
        <v>2010</v>
      </c>
      <c r="D112">
        <f t="shared" si="5"/>
        <v>852.75</v>
      </c>
      <c r="E112">
        <f t="shared" si="6"/>
        <v>128.55185263910053</v>
      </c>
      <c r="F112">
        <f t="shared" si="7"/>
        <v>0</v>
      </c>
    </row>
    <row r="113" spans="1:6" x14ac:dyDescent="0.2">
      <c r="A113">
        <v>201101201112</v>
      </c>
      <c r="B113">
        <v>785.68</v>
      </c>
      <c r="C113">
        <f t="shared" si="4"/>
        <v>2011</v>
      </c>
      <c r="D113">
        <f t="shared" si="5"/>
        <v>785.68</v>
      </c>
      <c r="E113">
        <f t="shared" si="6"/>
        <v>118.44106664495868</v>
      </c>
      <c r="F113">
        <f t="shared" si="7"/>
        <v>0</v>
      </c>
    </row>
    <row r="114" spans="1:6" x14ac:dyDescent="0.2">
      <c r="A114">
        <v>201201201212</v>
      </c>
      <c r="B114">
        <v>620.35</v>
      </c>
      <c r="C114">
        <f t="shared" si="4"/>
        <v>2012</v>
      </c>
      <c r="D114">
        <f t="shared" si="5"/>
        <v>620.35</v>
      </c>
      <c r="E114">
        <f t="shared" si="6"/>
        <v>93.517609832501932</v>
      </c>
      <c r="F114">
        <f t="shared" si="7"/>
        <v>1</v>
      </c>
    </row>
    <row r="115" spans="1:6" x14ac:dyDescent="0.2">
      <c r="A115">
        <v>201301201312</v>
      </c>
      <c r="B115">
        <v>604.30999999999995</v>
      </c>
      <c r="C115">
        <f t="shared" si="4"/>
        <v>2013</v>
      </c>
      <c r="D115">
        <f t="shared" si="5"/>
        <v>604.30999999999995</v>
      </c>
      <c r="E115">
        <f t="shared" si="6"/>
        <v>91.099583779929461</v>
      </c>
      <c r="F115">
        <f t="shared" si="7"/>
        <v>2</v>
      </c>
    </row>
    <row r="116" spans="1:6" x14ac:dyDescent="0.2">
      <c r="A116">
        <v>201401201412</v>
      </c>
      <c r="B116">
        <v>546.66999999999996</v>
      </c>
      <c r="C116">
        <f t="shared" si="4"/>
        <v>2014</v>
      </c>
      <c r="D116">
        <f t="shared" si="5"/>
        <v>546.66999999999996</v>
      </c>
      <c r="E116">
        <f t="shared" si="6"/>
        <v>82.410367965074272</v>
      </c>
      <c r="F116">
        <f t="shared" si="7"/>
        <v>3</v>
      </c>
    </row>
    <row r="117" spans="1:6" x14ac:dyDescent="0.2">
      <c r="A117">
        <v>201501201512</v>
      </c>
      <c r="B117">
        <v>499.44</v>
      </c>
      <c r="C117">
        <f t="shared" si="4"/>
        <v>2015</v>
      </c>
      <c r="D117">
        <f t="shared" si="5"/>
        <v>499.44</v>
      </c>
      <c r="E117">
        <f t="shared" si="6"/>
        <v>75.290457088328793</v>
      </c>
      <c r="F117">
        <f t="shared" si="7"/>
        <v>4</v>
      </c>
    </row>
    <row r="118" spans="1:6" x14ac:dyDescent="0.2">
      <c r="A118">
        <v>201601201612</v>
      </c>
      <c r="B118">
        <v>778.19</v>
      </c>
      <c r="C118">
        <f t="shared" si="4"/>
        <v>2016</v>
      </c>
      <c r="D118">
        <f t="shared" si="5"/>
        <v>778.19</v>
      </c>
      <c r="E118">
        <f t="shared" si="6"/>
        <v>117.31195098824001</v>
      </c>
      <c r="F118">
        <f t="shared" si="7"/>
        <v>0</v>
      </c>
    </row>
    <row r="119" spans="1:6" x14ac:dyDescent="0.2">
      <c r="A119">
        <v>201701201712</v>
      </c>
      <c r="B119">
        <v>615.39</v>
      </c>
      <c r="C119">
        <f t="shared" si="4"/>
        <v>2017</v>
      </c>
      <c r="D119">
        <f t="shared" si="5"/>
        <v>615.39</v>
      </c>
      <c r="E119">
        <f t="shared" si="6"/>
        <v>92.769891053152847</v>
      </c>
      <c r="F119">
        <f t="shared" si="7"/>
        <v>1</v>
      </c>
    </row>
    <row r="120" spans="1:6" x14ac:dyDescent="0.2">
      <c r="A120">
        <v>201801201812</v>
      </c>
      <c r="B120">
        <v>485.55</v>
      </c>
      <c r="C120">
        <f t="shared" si="4"/>
        <v>2018</v>
      </c>
      <c r="D120">
        <f t="shared" si="5"/>
        <v>485.55</v>
      </c>
      <c r="E120">
        <f t="shared" si="6"/>
        <v>73.196543006643537</v>
      </c>
      <c r="F120">
        <f t="shared" si="7"/>
        <v>2</v>
      </c>
    </row>
    <row r="121" spans="1:6" x14ac:dyDescent="0.2">
      <c r="A121">
        <v>201901201912</v>
      </c>
      <c r="B121">
        <v>467.4</v>
      </c>
      <c r="C121">
        <f t="shared" si="4"/>
        <v>2019</v>
      </c>
      <c r="D121">
        <f t="shared" si="5"/>
        <v>467.4</v>
      </c>
      <c r="E121">
        <f t="shared" si="6"/>
        <v>70.460434973339886</v>
      </c>
      <c r="F121">
        <f t="shared" si="7"/>
        <v>3</v>
      </c>
    </row>
    <row r="122" spans="1:6" x14ac:dyDescent="0.2">
      <c r="A122">
        <v>202001202012</v>
      </c>
      <c r="B122">
        <v>670.33</v>
      </c>
      <c r="C122">
        <f t="shared" si="4"/>
        <v>2020</v>
      </c>
      <c r="D122">
        <f t="shared" si="5"/>
        <v>670.33</v>
      </c>
      <c r="E122">
        <f t="shared" si="6"/>
        <v>101.05208253247527</v>
      </c>
      <c r="F122">
        <f t="shared" si="7"/>
        <v>0</v>
      </c>
    </row>
    <row r="123" spans="1:6" x14ac:dyDescent="0.2">
      <c r="A123">
        <v>202101202112</v>
      </c>
      <c r="B123">
        <v>698.09</v>
      </c>
      <c r="C123">
        <f t="shared" si="4"/>
        <v>2021</v>
      </c>
      <c r="D123">
        <f t="shared" si="5"/>
        <v>698.09</v>
      </c>
      <c r="E123">
        <f t="shared" si="6"/>
        <v>105.23689570076775</v>
      </c>
      <c r="F123">
        <f t="shared" si="7"/>
        <v>0</v>
      </c>
    </row>
    <row r="124" spans="1:6" x14ac:dyDescent="0.2">
      <c r="A124">
        <v>202201202212</v>
      </c>
      <c r="B124">
        <v>872.05</v>
      </c>
      <c r="C124">
        <f t="shared" si="4"/>
        <v>2022</v>
      </c>
      <c r="D124">
        <f t="shared" si="5"/>
        <v>872.05</v>
      </c>
      <c r="E124">
        <f t="shared" si="6"/>
        <v>131.46132288939037</v>
      </c>
      <c r="F124">
        <f t="shared" si="7"/>
        <v>0</v>
      </c>
    </row>
    <row r="125" spans="1:6" x14ac:dyDescent="0.2">
      <c r="A125">
        <v>202301202312</v>
      </c>
      <c r="B125">
        <v>629.39</v>
      </c>
      <c r="C125">
        <f t="shared" si="4"/>
        <v>2023</v>
      </c>
      <c r="D125">
        <f t="shared" si="5"/>
        <v>629.39</v>
      </c>
      <c r="E125">
        <f t="shared" si="6"/>
        <v>94.880387607767219</v>
      </c>
      <c r="F125">
        <f t="shared" si="7"/>
        <v>1</v>
      </c>
    </row>
    <row r="126" spans="1:6" x14ac:dyDescent="0.2">
      <c r="A126">
        <v>202401202412</v>
      </c>
      <c r="B126">
        <v>528.26</v>
      </c>
      <c r="C126">
        <f t="shared" si="4"/>
        <v>2024</v>
      </c>
      <c r="D126">
        <f t="shared" si="5"/>
        <v>528.26</v>
      </c>
      <c r="E126">
        <f t="shared" si="6"/>
        <v>79.63506499575638</v>
      </c>
      <c r="F126">
        <f t="shared" si="7"/>
        <v>2</v>
      </c>
    </row>
    <row r="127" spans="1:6" x14ac:dyDescent="0.2">
      <c r="A127">
        <v>202501202512</v>
      </c>
      <c r="B127">
        <v>545</v>
      </c>
      <c r="C127">
        <f t="shared" si="4"/>
        <v>2025</v>
      </c>
      <c r="D127">
        <f t="shared" si="5"/>
        <v>545</v>
      </c>
      <c r="E127">
        <f t="shared" si="6"/>
        <v>82.158615876059571</v>
      </c>
      <c r="F127">
        <f t="shared" si="7"/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ADD2D-020C-EF4E-A9EC-E51F2364F912}">
  <dimension ref="A1:H127"/>
  <sheetViews>
    <sheetView workbookViewId="0">
      <selection activeCell="H21" sqref="H21"/>
    </sheetView>
  </sheetViews>
  <sheetFormatPr baseColWidth="10" defaultRowHeight="16" x14ac:dyDescent="0.2"/>
  <cols>
    <col min="1" max="1" width="12.1640625" bestFit="1" customWidth="1"/>
    <col min="2" max="2" width="8.1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376.61</v>
      </c>
      <c r="C2">
        <f>INT(A2/100000000)</f>
        <v>1900</v>
      </c>
      <c r="D2">
        <f>B2</f>
        <v>376.61</v>
      </c>
      <c r="E2">
        <f>D2 / $G$2 * 100</f>
        <v>60.53058486700553</v>
      </c>
      <c r="F2">
        <f>IF(E2&lt;100, 1, 0)</f>
        <v>1</v>
      </c>
      <c r="G2">
        <f>AVERAGEIFS(D:D, C:C, "&gt;=1961", C:C, "&lt;=1990")</f>
        <v>622.18133333333344</v>
      </c>
    </row>
    <row r="3" spans="1:8" x14ac:dyDescent="0.2">
      <c r="A3">
        <v>190101190112</v>
      </c>
      <c r="B3">
        <v>544.41999999999996</v>
      </c>
      <c r="C3">
        <f t="shared" ref="C3:C66" si="0">INT(A3/100000000)</f>
        <v>1901</v>
      </c>
      <c r="D3">
        <f t="shared" ref="D3:D66" si="1">B3</f>
        <v>544.41999999999996</v>
      </c>
      <c r="E3">
        <f t="shared" ref="E3:E66" si="2">D3 / $G$2 * 100</f>
        <v>87.501821548273156</v>
      </c>
      <c r="F3">
        <f>IF(E3&lt;100, F2+1, 0)</f>
        <v>2</v>
      </c>
    </row>
    <row r="4" spans="1:8" x14ac:dyDescent="0.2">
      <c r="A4">
        <v>190201190212</v>
      </c>
      <c r="B4">
        <v>294.83999999999997</v>
      </c>
      <c r="C4">
        <f t="shared" si="0"/>
        <v>1902</v>
      </c>
      <c r="D4">
        <f t="shared" si="1"/>
        <v>294.83999999999997</v>
      </c>
      <c r="E4">
        <f t="shared" si="2"/>
        <v>47.388114076067843</v>
      </c>
      <c r="F4">
        <f t="shared" ref="F4:F67" si="3">IF(E4&lt;100, F3+1, 0)</f>
        <v>3</v>
      </c>
      <c r="G4" t="s">
        <v>7</v>
      </c>
      <c r="H4">
        <f>AVERAGEIFS(E:E, C:C, "&gt;=1900", C:C, "&lt;=1902")</f>
        <v>65.140173497115498</v>
      </c>
    </row>
    <row r="5" spans="1:8" x14ac:dyDescent="0.2">
      <c r="A5">
        <v>190301190312</v>
      </c>
      <c r="B5">
        <v>773.36</v>
      </c>
      <c r="C5">
        <f t="shared" si="0"/>
        <v>1903</v>
      </c>
      <c r="D5">
        <f t="shared" si="1"/>
        <v>773.36</v>
      </c>
      <c r="E5">
        <f t="shared" si="2"/>
        <v>124.29816816533656</v>
      </c>
      <c r="F5">
        <f t="shared" si="3"/>
        <v>0</v>
      </c>
      <c r="G5" t="s">
        <v>8</v>
      </c>
      <c r="H5">
        <f>AVERAGEIFS(E:E, C:C, "&gt;=1937", C:C, "&lt;=1945")</f>
        <v>94.461564617103392</v>
      </c>
    </row>
    <row r="6" spans="1:8" x14ac:dyDescent="0.2">
      <c r="A6">
        <v>190401190412</v>
      </c>
      <c r="B6">
        <v>610.82000000000005</v>
      </c>
      <c r="C6">
        <f t="shared" si="0"/>
        <v>1904</v>
      </c>
      <c r="D6">
        <f t="shared" si="1"/>
        <v>610.82000000000005</v>
      </c>
      <c r="E6">
        <f t="shared" si="2"/>
        <v>98.173951431094025</v>
      </c>
      <c r="F6">
        <f t="shared" si="3"/>
        <v>1</v>
      </c>
      <c r="G6" t="s">
        <v>9</v>
      </c>
      <c r="H6">
        <f>AVERAGEIFS(E:E, C:C, "&gt;=1997", C:C, "&lt;=2009")</f>
        <v>101.90697146911408</v>
      </c>
    </row>
    <row r="7" spans="1:8" x14ac:dyDescent="0.2">
      <c r="A7">
        <v>190501190512</v>
      </c>
      <c r="B7">
        <v>411.56</v>
      </c>
      <c r="C7">
        <f t="shared" si="0"/>
        <v>1905</v>
      </c>
      <c r="D7">
        <f t="shared" si="1"/>
        <v>411.56</v>
      </c>
      <c r="E7">
        <f t="shared" si="2"/>
        <v>66.147918291773451</v>
      </c>
      <c r="F7">
        <f t="shared" si="3"/>
        <v>2</v>
      </c>
      <c r="G7" t="s">
        <v>10</v>
      </c>
      <c r="H7">
        <f>AVERAGEIFS(E:E, C:C, "&gt;=2017", C:C, "&lt;=2019")</f>
        <v>83.383515202427574</v>
      </c>
    </row>
    <row r="8" spans="1:8" x14ac:dyDescent="0.2">
      <c r="A8">
        <v>190601190612</v>
      </c>
      <c r="B8">
        <v>817.79</v>
      </c>
      <c r="C8">
        <f t="shared" si="0"/>
        <v>1906</v>
      </c>
      <c r="D8">
        <f t="shared" si="1"/>
        <v>817.79</v>
      </c>
      <c r="E8">
        <f t="shared" si="2"/>
        <v>131.43917314566383</v>
      </c>
      <c r="F8">
        <f t="shared" si="3"/>
        <v>0</v>
      </c>
      <c r="G8" t="s">
        <v>11</v>
      </c>
      <c r="H8">
        <f>COUNTIF(E:E, "&lt;80")</f>
        <v>27</v>
      </c>
    </row>
    <row r="9" spans="1:8" x14ac:dyDescent="0.2">
      <c r="A9">
        <v>190701190712</v>
      </c>
      <c r="B9">
        <v>658.94</v>
      </c>
      <c r="C9">
        <f t="shared" si="0"/>
        <v>1907</v>
      </c>
      <c r="D9">
        <f t="shared" si="1"/>
        <v>658.94</v>
      </c>
      <c r="E9">
        <f t="shared" si="2"/>
        <v>105.90803109918652</v>
      </c>
      <c r="F9">
        <f t="shared" si="3"/>
        <v>0</v>
      </c>
      <c r="G9" t="s">
        <v>12</v>
      </c>
      <c r="H9">
        <f>MAX(F:F)</f>
        <v>6</v>
      </c>
    </row>
    <row r="10" spans="1:8" x14ac:dyDescent="0.2">
      <c r="A10">
        <v>190801190812</v>
      </c>
      <c r="B10">
        <v>642.77</v>
      </c>
      <c r="C10">
        <f t="shared" si="0"/>
        <v>1908</v>
      </c>
      <c r="D10">
        <f t="shared" si="1"/>
        <v>642.77</v>
      </c>
      <c r="E10">
        <f t="shared" si="2"/>
        <v>103.3091103129634</v>
      </c>
      <c r="F10">
        <f t="shared" si="3"/>
        <v>0</v>
      </c>
      <c r="G10" t="s">
        <v>13</v>
      </c>
      <c r="H10">
        <f>INDEX(C:C, MATCH(H9, F:F, 0))</f>
        <v>2006</v>
      </c>
    </row>
    <row r="11" spans="1:8" x14ac:dyDescent="0.2">
      <c r="A11">
        <v>190901190912</v>
      </c>
      <c r="B11">
        <v>641.97</v>
      </c>
      <c r="C11">
        <f t="shared" si="0"/>
        <v>1909</v>
      </c>
      <c r="D11">
        <f t="shared" si="1"/>
        <v>641.97</v>
      </c>
      <c r="E11">
        <f t="shared" si="2"/>
        <v>103.18053043485713</v>
      </c>
      <c r="F11">
        <f t="shared" si="3"/>
        <v>0</v>
      </c>
      <c r="G11" t="s">
        <v>14</v>
      </c>
      <c r="H11" t="str">
        <f>(H10-H9+1) &amp; "-" &amp; H10</f>
        <v>2001-2006</v>
      </c>
    </row>
    <row r="12" spans="1:8" x14ac:dyDescent="0.2">
      <c r="A12">
        <v>191001191012</v>
      </c>
      <c r="B12">
        <v>813.84</v>
      </c>
      <c r="C12">
        <f t="shared" si="0"/>
        <v>1910</v>
      </c>
      <c r="D12">
        <f t="shared" si="1"/>
        <v>813.84</v>
      </c>
      <c r="E12">
        <f t="shared" si="2"/>
        <v>130.80430999751411</v>
      </c>
      <c r="F12">
        <f t="shared" si="3"/>
        <v>0</v>
      </c>
    </row>
    <row r="13" spans="1:8" x14ac:dyDescent="0.2">
      <c r="A13">
        <v>191101191112</v>
      </c>
      <c r="B13">
        <v>721.96</v>
      </c>
      <c r="C13">
        <f t="shared" si="0"/>
        <v>1911</v>
      </c>
      <c r="D13">
        <f t="shared" si="1"/>
        <v>721.96</v>
      </c>
      <c r="E13">
        <f t="shared" si="2"/>
        <v>116.03691099700836</v>
      </c>
      <c r="F13">
        <f t="shared" si="3"/>
        <v>0</v>
      </c>
    </row>
    <row r="14" spans="1:8" x14ac:dyDescent="0.2">
      <c r="A14">
        <v>191201191212</v>
      </c>
      <c r="B14">
        <v>509.29</v>
      </c>
      <c r="C14">
        <f t="shared" si="0"/>
        <v>1912</v>
      </c>
      <c r="D14">
        <f t="shared" si="1"/>
        <v>509.29</v>
      </c>
      <c r="E14">
        <f t="shared" si="2"/>
        <v>81.855557650931331</v>
      </c>
      <c r="F14">
        <f t="shared" si="3"/>
        <v>1</v>
      </c>
    </row>
    <row r="15" spans="1:8" x14ac:dyDescent="0.2">
      <c r="A15">
        <v>191301191312</v>
      </c>
      <c r="B15">
        <v>710.59</v>
      </c>
      <c r="C15">
        <f t="shared" si="0"/>
        <v>1913</v>
      </c>
      <c r="D15">
        <f t="shared" si="1"/>
        <v>710.59</v>
      </c>
      <c r="E15">
        <f t="shared" si="2"/>
        <v>114.20946947942292</v>
      </c>
      <c r="F15">
        <f t="shared" si="3"/>
        <v>0</v>
      </c>
    </row>
    <row r="16" spans="1:8" x14ac:dyDescent="0.2">
      <c r="A16">
        <v>191401191412</v>
      </c>
      <c r="B16">
        <v>593.16999999999996</v>
      </c>
      <c r="C16">
        <f t="shared" si="0"/>
        <v>1914</v>
      </c>
      <c r="D16">
        <f t="shared" si="1"/>
        <v>593.16999999999996</v>
      </c>
      <c r="E16">
        <f t="shared" si="2"/>
        <v>95.337157870374313</v>
      </c>
      <c r="F16">
        <f t="shared" si="3"/>
        <v>1</v>
      </c>
    </row>
    <row r="17" spans="1:6" x14ac:dyDescent="0.2">
      <c r="A17">
        <v>191501191512</v>
      </c>
      <c r="B17">
        <v>369.37</v>
      </c>
      <c r="C17">
        <f t="shared" si="0"/>
        <v>1915</v>
      </c>
      <c r="D17">
        <f t="shared" si="1"/>
        <v>369.37</v>
      </c>
      <c r="E17">
        <f t="shared" si="2"/>
        <v>59.366936970143747</v>
      </c>
      <c r="F17">
        <f t="shared" si="3"/>
        <v>2</v>
      </c>
    </row>
    <row r="18" spans="1:6" x14ac:dyDescent="0.2">
      <c r="A18">
        <v>191601191612</v>
      </c>
      <c r="B18">
        <v>767.66</v>
      </c>
      <c r="C18">
        <f t="shared" si="0"/>
        <v>1916</v>
      </c>
      <c r="D18">
        <f t="shared" si="1"/>
        <v>767.66</v>
      </c>
      <c r="E18">
        <f t="shared" si="2"/>
        <v>123.38203653382934</v>
      </c>
      <c r="F18">
        <f t="shared" si="3"/>
        <v>0</v>
      </c>
    </row>
    <row r="19" spans="1:6" x14ac:dyDescent="0.2">
      <c r="A19">
        <v>191701191712</v>
      </c>
      <c r="B19">
        <v>834.01</v>
      </c>
      <c r="C19">
        <f t="shared" si="0"/>
        <v>1917</v>
      </c>
      <c r="D19">
        <f t="shared" si="1"/>
        <v>834.01</v>
      </c>
      <c r="E19">
        <f t="shared" si="2"/>
        <v>134.04613017426857</v>
      </c>
      <c r="F19">
        <f t="shared" si="3"/>
        <v>0</v>
      </c>
    </row>
    <row r="20" spans="1:6" x14ac:dyDescent="0.2">
      <c r="A20">
        <v>191801191812</v>
      </c>
      <c r="B20">
        <v>654.86</v>
      </c>
      <c r="C20">
        <f t="shared" si="0"/>
        <v>1918</v>
      </c>
      <c r="D20">
        <f t="shared" si="1"/>
        <v>654.86</v>
      </c>
      <c r="E20">
        <f t="shared" si="2"/>
        <v>105.25227372084449</v>
      </c>
      <c r="F20">
        <f t="shared" si="3"/>
        <v>0</v>
      </c>
    </row>
    <row r="21" spans="1:6" x14ac:dyDescent="0.2">
      <c r="A21">
        <v>191901191912</v>
      </c>
      <c r="B21">
        <v>391.45</v>
      </c>
      <c r="C21">
        <f t="shared" si="0"/>
        <v>1919</v>
      </c>
      <c r="D21">
        <f t="shared" si="1"/>
        <v>391.45</v>
      </c>
      <c r="E21">
        <f t="shared" si="2"/>
        <v>62.915741605876939</v>
      </c>
      <c r="F21">
        <f t="shared" si="3"/>
        <v>1</v>
      </c>
    </row>
    <row r="22" spans="1:6" x14ac:dyDescent="0.2">
      <c r="A22">
        <v>192001192012</v>
      </c>
      <c r="B22">
        <v>749.05</v>
      </c>
      <c r="C22">
        <f t="shared" si="0"/>
        <v>1920</v>
      </c>
      <c r="D22">
        <f t="shared" si="1"/>
        <v>749.05</v>
      </c>
      <c r="E22">
        <f t="shared" si="2"/>
        <v>120.39094711938209</v>
      </c>
      <c r="F22">
        <f t="shared" si="3"/>
        <v>0</v>
      </c>
    </row>
    <row r="23" spans="1:6" x14ac:dyDescent="0.2">
      <c r="A23">
        <v>192101192112</v>
      </c>
      <c r="B23">
        <v>782.48</v>
      </c>
      <c r="C23">
        <f t="shared" si="0"/>
        <v>1921</v>
      </c>
      <c r="D23">
        <f t="shared" si="1"/>
        <v>782.48</v>
      </c>
      <c r="E23">
        <f t="shared" si="2"/>
        <v>125.7639787757481</v>
      </c>
      <c r="F23">
        <f t="shared" si="3"/>
        <v>0</v>
      </c>
    </row>
    <row r="24" spans="1:6" x14ac:dyDescent="0.2">
      <c r="A24">
        <v>192201192212</v>
      </c>
      <c r="B24">
        <v>535.03</v>
      </c>
      <c r="C24">
        <f t="shared" si="0"/>
        <v>1922</v>
      </c>
      <c r="D24">
        <f t="shared" si="1"/>
        <v>535.03</v>
      </c>
      <c r="E24">
        <f t="shared" si="2"/>
        <v>85.992615229000748</v>
      </c>
      <c r="F24">
        <f t="shared" si="3"/>
        <v>1</v>
      </c>
    </row>
    <row r="25" spans="1:6" x14ac:dyDescent="0.2">
      <c r="A25">
        <v>192301192312</v>
      </c>
      <c r="B25">
        <v>401.08</v>
      </c>
      <c r="C25">
        <f t="shared" si="0"/>
        <v>1923</v>
      </c>
      <c r="D25">
        <f t="shared" si="1"/>
        <v>401.08</v>
      </c>
      <c r="E25">
        <f t="shared" si="2"/>
        <v>64.463521888581226</v>
      </c>
      <c r="F25">
        <f t="shared" si="3"/>
        <v>2</v>
      </c>
    </row>
    <row r="26" spans="1:6" x14ac:dyDescent="0.2">
      <c r="A26">
        <v>192401192412</v>
      </c>
      <c r="B26">
        <v>720.52</v>
      </c>
      <c r="C26">
        <f t="shared" si="0"/>
        <v>1924</v>
      </c>
      <c r="D26">
        <f t="shared" si="1"/>
        <v>720.52</v>
      </c>
      <c r="E26">
        <f t="shared" si="2"/>
        <v>115.80546721641704</v>
      </c>
      <c r="F26">
        <f t="shared" si="3"/>
        <v>0</v>
      </c>
    </row>
    <row r="27" spans="1:6" x14ac:dyDescent="0.2">
      <c r="A27">
        <v>192501192512</v>
      </c>
      <c r="B27">
        <v>576.62</v>
      </c>
      <c r="C27">
        <f t="shared" si="0"/>
        <v>1925</v>
      </c>
      <c r="D27">
        <f t="shared" si="1"/>
        <v>576.62</v>
      </c>
      <c r="E27">
        <f t="shared" si="2"/>
        <v>92.677161642050748</v>
      </c>
      <c r="F27">
        <f t="shared" si="3"/>
        <v>1</v>
      </c>
    </row>
    <row r="28" spans="1:6" x14ac:dyDescent="0.2">
      <c r="A28">
        <v>192601192612</v>
      </c>
      <c r="B28">
        <v>398.02</v>
      </c>
      <c r="C28">
        <f t="shared" si="0"/>
        <v>1926</v>
      </c>
      <c r="D28">
        <f t="shared" si="1"/>
        <v>398.02</v>
      </c>
      <c r="E28">
        <f t="shared" si="2"/>
        <v>63.971703854824739</v>
      </c>
      <c r="F28">
        <f t="shared" si="3"/>
        <v>2</v>
      </c>
    </row>
    <row r="29" spans="1:6" x14ac:dyDescent="0.2">
      <c r="A29">
        <v>192701192712</v>
      </c>
      <c r="B29">
        <v>611.54</v>
      </c>
      <c r="C29">
        <f t="shared" si="0"/>
        <v>1927</v>
      </c>
      <c r="D29">
        <f t="shared" si="1"/>
        <v>611.54</v>
      </c>
      <c r="E29">
        <f t="shared" si="2"/>
        <v>98.289673321389671</v>
      </c>
      <c r="F29">
        <f t="shared" si="3"/>
        <v>3</v>
      </c>
    </row>
    <row r="30" spans="1:6" x14ac:dyDescent="0.2">
      <c r="A30">
        <v>192801192812</v>
      </c>
      <c r="B30">
        <v>537.33000000000004</v>
      </c>
      <c r="C30">
        <f t="shared" si="0"/>
        <v>1928</v>
      </c>
      <c r="D30">
        <f t="shared" si="1"/>
        <v>537.33000000000004</v>
      </c>
      <c r="E30">
        <f t="shared" si="2"/>
        <v>86.362282378556301</v>
      </c>
      <c r="F30">
        <f t="shared" si="3"/>
        <v>4</v>
      </c>
    </row>
    <row r="31" spans="1:6" x14ac:dyDescent="0.2">
      <c r="A31">
        <v>192901192912</v>
      </c>
      <c r="B31">
        <v>553.32000000000005</v>
      </c>
      <c r="C31">
        <f t="shared" si="0"/>
        <v>1929</v>
      </c>
      <c r="D31">
        <f t="shared" si="1"/>
        <v>553.32000000000005</v>
      </c>
      <c r="E31">
        <f t="shared" si="2"/>
        <v>88.932272692205487</v>
      </c>
      <c r="F31">
        <f t="shared" si="3"/>
        <v>5</v>
      </c>
    </row>
    <row r="32" spans="1:6" x14ac:dyDescent="0.2">
      <c r="A32">
        <v>193001193012</v>
      </c>
      <c r="B32">
        <v>649</v>
      </c>
      <c r="C32">
        <f t="shared" si="0"/>
        <v>1930</v>
      </c>
      <c r="D32">
        <f t="shared" si="1"/>
        <v>649</v>
      </c>
      <c r="E32">
        <f t="shared" si="2"/>
        <v>104.31042611371603</v>
      </c>
      <c r="F32">
        <f t="shared" si="3"/>
        <v>0</v>
      </c>
    </row>
    <row r="33" spans="1:6" x14ac:dyDescent="0.2">
      <c r="A33">
        <v>193101193112</v>
      </c>
      <c r="B33">
        <v>508.89</v>
      </c>
      <c r="C33">
        <f t="shared" si="0"/>
        <v>1931</v>
      </c>
      <c r="D33">
        <f t="shared" si="1"/>
        <v>508.89</v>
      </c>
      <c r="E33">
        <f t="shared" si="2"/>
        <v>81.791267711878191</v>
      </c>
      <c r="F33">
        <f t="shared" si="3"/>
        <v>1</v>
      </c>
    </row>
    <row r="34" spans="1:6" x14ac:dyDescent="0.2">
      <c r="A34">
        <v>193201193212</v>
      </c>
      <c r="B34">
        <v>419.04</v>
      </c>
      <c r="C34">
        <f t="shared" si="0"/>
        <v>1932</v>
      </c>
      <c r="D34">
        <f t="shared" si="1"/>
        <v>419.04</v>
      </c>
      <c r="E34">
        <f t="shared" si="2"/>
        <v>67.350140152067127</v>
      </c>
      <c r="F34">
        <f t="shared" si="3"/>
        <v>2</v>
      </c>
    </row>
    <row r="35" spans="1:6" x14ac:dyDescent="0.2">
      <c r="A35">
        <v>193301193312</v>
      </c>
      <c r="B35">
        <v>696.58</v>
      </c>
      <c r="C35">
        <f t="shared" si="0"/>
        <v>1933</v>
      </c>
      <c r="D35">
        <f t="shared" si="1"/>
        <v>696.58</v>
      </c>
      <c r="E35">
        <f t="shared" si="2"/>
        <v>111.95771436408677</v>
      </c>
      <c r="F35">
        <f t="shared" si="3"/>
        <v>0</v>
      </c>
    </row>
    <row r="36" spans="1:6" x14ac:dyDescent="0.2">
      <c r="A36">
        <v>193401193412</v>
      </c>
      <c r="B36">
        <v>561.89</v>
      </c>
      <c r="C36">
        <f t="shared" si="0"/>
        <v>1934</v>
      </c>
      <c r="D36">
        <f t="shared" si="1"/>
        <v>561.89</v>
      </c>
      <c r="E36">
        <f t="shared" si="2"/>
        <v>90.30968463641895</v>
      </c>
      <c r="F36">
        <f t="shared" si="3"/>
        <v>1</v>
      </c>
    </row>
    <row r="37" spans="1:6" x14ac:dyDescent="0.2">
      <c r="A37">
        <v>193501193512</v>
      </c>
      <c r="B37">
        <v>408.7</v>
      </c>
      <c r="C37">
        <f t="shared" si="0"/>
        <v>1935</v>
      </c>
      <c r="D37">
        <f t="shared" si="1"/>
        <v>408.7</v>
      </c>
      <c r="E37">
        <f t="shared" si="2"/>
        <v>65.688245227543504</v>
      </c>
      <c r="F37">
        <f t="shared" si="3"/>
        <v>2</v>
      </c>
    </row>
    <row r="38" spans="1:6" x14ac:dyDescent="0.2">
      <c r="A38">
        <v>193601193612</v>
      </c>
      <c r="B38">
        <v>683.56</v>
      </c>
      <c r="C38">
        <f t="shared" si="0"/>
        <v>1936</v>
      </c>
      <c r="D38">
        <f t="shared" si="1"/>
        <v>683.56</v>
      </c>
      <c r="E38">
        <f t="shared" si="2"/>
        <v>109.86507684790712</v>
      </c>
      <c r="F38">
        <f t="shared" si="3"/>
        <v>0</v>
      </c>
    </row>
    <row r="39" spans="1:6" x14ac:dyDescent="0.2">
      <c r="A39">
        <v>193701193712</v>
      </c>
      <c r="B39">
        <v>494.35</v>
      </c>
      <c r="C39">
        <f t="shared" si="0"/>
        <v>1937</v>
      </c>
      <c r="D39">
        <f t="shared" si="1"/>
        <v>494.35</v>
      </c>
      <c r="E39">
        <f t="shared" si="2"/>
        <v>79.454328427296645</v>
      </c>
      <c r="F39">
        <f t="shared" si="3"/>
        <v>1</v>
      </c>
    </row>
    <row r="40" spans="1:6" x14ac:dyDescent="0.2">
      <c r="A40">
        <v>193801193812</v>
      </c>
      <c r="B40">
        <v>511.94</v>
      </c>
      <c r="C40">
        <f t="shared" si="0"/>
        <v>1938</v>
      </c>
      <c r="D40">
        <f t="shared" si="1"/>
        <v>511.94</v>
      </c>
      <c r="E40">
        <f t="shared" si="2"/>
        <v>82.281478497158361</v>
      </c>
      <c r="F40">
        <f t="shared" si="3"/>
        <v>2</v>
      </c>
    </row>
    <row r="41" spans="1:6" x14ac:dyDescent="0.2">
      <c r="A41">
        <v>193901193912</v>
      </c>
      <c r="B41">
        <v>669.91</v>
      </c>
      <c r="C41">
        <f t="shared" si="0"/>
        <v>1939</v>
      </c>
      <c r="D41">
        <f t="shared" si="1"/>
        <v>669.91</v>
      </c>
      <c r="E41">
        <f t="shared" si="2"/>
        <v>107.6711826777188</v>
      </c>
      <c r="F41">
        <f t="shared" si="3"/>
        <v>0</v>
      </c>
    </row>
    <row r="42" spans="1:6" x14ac:dyDescent="0.2">
      <c r="A42">
        <v>194001194012</v>
      </c>
      <c r="B42">
        <v>667.12</v>
      </c>
      <c r="C42">
        <f t="shared" si="0"/>
        <v>1940</v>
      </c>
      <c r="D42">
        <f t="shared" si="1"/>
        <v>667.12</v>
      </c>
      <c r="E42">
        <f t="shared" si="2"/>
        <v>107.22276035282317</v>
      </c>
      <c r="F42">
        <f t="shared" si="3"/>
        <v>0</v>
      </c>
    </row>
    <row r="43" spans="1:6" x14ac:dyDescent="0.2">
      <c r="A43">
        <v>194101194112</v>
      </c>
      <c r="B43">
        <v>701.04</v>
      </c>
      <c r="C43">
        <f t="shared" si="0"/>
        <v>1941</v>
      </c>
      <c r="D43">
        <f t="shared" si="1"/>
        <v>701.04</v>
      </c>
      <c r="E43">
        <f t="shared" si="2"/>
        <v>112.67454718452925</v>
      </c>
      <c r="F43">
        <f t="shared" si="3"/>
        <v>0</v>
      </c>
    </row>
    <row r="44" spans="1:6" x14ac:dyDescent="0.2">
      <c r="A44">
        <v>194201194212</v>
      </c>
      <c r="B44">
        <v>627.84</v>
      </c>
      <c r="C44">
        <f t="shared" si="0"/>
        <v>1942</v>
      </c>
      <c r="D44">
        <f t="shared" si="1"/>
        <v>627.84</v>
      </c>
      <c r="E44">
        <f t="shared" si="2"/>
        <v>100.90948833780504</v>
      </c>
      <c r="F44">
        <f t="shared" si="3"/>
        <v>0</v>
      </c>
    </row>
    <row r="45" spans="1:6" x14ac:dyDescent="0.2">
      <c r="A45">
        <v>194301194312</v>
      </c>
      <c r="B45">
        <v>510.67</v>
      </c>
      <c r="C45">
        <f t="shared" si="0"/>
        <v>1943</v>
      </c>
      <c r="D45">
        <f t="shared" si="1"/>
        <v>510.67</v>
      </c>
      <c r="E45">
        <f t="shared" si="2"/>
        <v>82.077357940664669</v>
      </c>
      <c r="F45">
        <f t="shared" si="3"/>
        <v>1</v>
      </c>
    </row>
    <row r="46" spans="1:6" x14ac:dyDescent="0.2">
      <c r="A46">
        <v>194401194412</v>
      </c>
      <c r="B46">
        <v>581.44000000000005</v>
      </c>
      <c r="C46">
        <f t="shared" si="0"/>
        <v>1944</v>
      </c>
      <c r="D46">
        <f t="shared" si="1"/>
        <v>581.44000000000005</v>
      </c>
      <c r="E46">
        <f t="shared" si="2"/>
        <v>93.451855407641077</v>
      </c>
      <c r="F46">
        <f t="shared" si="3"/>
        <v>2</v>
      </c>
    </row>
    <row r="47" spans="1:6" x14ac:dyDescent="0.2">
      <c r="A47">
        <v>194501194512</v>
      </c>
      <c r="B47">
        <v>525.19000000000005</v>
      </c>
      <c r="C47">
        <f t="shared" si="0"/>
        <v>1945</v>
      </c>
      <c r="D47">
        <f t="shared" si="1"/>
        <v>525.19000000000005</v>
      </c>
      <c r="E47">
        <f t="shared" si="2"/>
        <v>84.411082728293565</v>
      </c>
      <c r="F47">
        <f t="shared" si="3"/>
        <v>3</v>
      </c>
    </row>
    <row r="48" spans="1:6" x14ac:dyDescent="0.2">
      <c r="A48">
        <v>194601194612</v>
      </c>
      <c r="B48">
        <v>477.85</v>
      </c>
      <c r="C48">
        <f t="shared" si="0"/>
        <v>1946</v>
      </c>
      <c r="D48">
        <f t="shared" si="1"/>
        <v>477.85</v>
      </c>
      <c r="E48">
        <f t="shared" si="2"/>
        <v>76.802368441354702</v>
      </c>
      <c r="F48">
        <f t="shared" si="3"/>
        <v>4</v>
      </c>
    </row>
    <row r="49" spans="1:6" x14ac:dyDescent="0.2">
      <c r="A49">
        <v>194701194712</v>
      </c>
      <c r="B49">
        <v>656.31</v>
      </c>
      <c r="C49">
        <f t="shared" si="0"/>
        <v>1947</v>
      </c>
      <c r="D49">
        <f t="shared" si="1"/>
        <v>656.31</v>
      </c>
      <c r="E49">
        <f t="shared" si="2"/>
        <v>105.4853247499121</v>
      </c>
      <c r="F49">
        <f t="shared" si="3"/>
        <v>0</v>
      </c>
    </row>
    <row r="50" spans="1:6" x14ac:dyDescent="0.2">
      <c r="A50">
        <v>194801194812</v>
      </c>
      <c r="B50">
        <v>445.64</v>
      </c>
      <c r="C50">
        <f t="shared" si="0"/>
        <v>1948</v>
      </c>
      <c r="D50">
        <f t="shared" si="1"/>
        <v>445.64</v>
      </c>
      <c r="E50">
        <f t="shared" si="2"/>
        <v>71.625421099100777</v>
      </c>
      <c r="F50">
        <f t="shared" si="3"/>
        <v>1</v>
      </c>
    </row>
    <row r="51" spans="1:6" x14ac:dyDescent="0.2">
      <c r="A51">
        <v>194901194912</v>
      </c>
      <c r="B51">
        <v>718.34</v>
      </c>
      <c r="C51">
        <f t="shared" si="0"/>
        <v>1949</v>
      </c>
      <c r="D51">
        <f t="shared" si="1"/>
        <v>718.34</v>
      </c>
      <c r="E51">
        <f t="shared" si="2"/>
        <v>115.45508704857745</v>
      </c>
      <c r="F51">
        <f t="shared" si="3"/>
        <v>0</v>
      </c>
    </row>
    <row r="52" spans="1:6" x14ac:dyDescent="0.2">
      <c r="A52">
        <v>195001195012</v>
      </c>
      <c r="B52">
        <v>1111.83</v>
      </c>
      <c r="C52">
        <f t="shared" si="0"/>
        <v>1950</v>
      </c>
      <c r="D52">
        <f t="shared" si="1"/>
        <v>1111.83</v>
      </c>
      <c r="E52">
        <f t="shared" si="2"/>
        <v>178.69870734362539</v>
      </c>
      <c r="F52">
        <f t="shared" si="3"/>
        <v>0</v>
      </c>
    </row>
    <row r="53" spans="1:6" x14ac:dyDescent="0.2">
      <c r="A53">
        <v>195101195112</v>
      </c>
      <c r="B53">
        <v>469.37</v>
      </c>
      <c r="C53">
        <f t="shared" si="0"/>
        <v>1951</v>
      </c>
      <c r="D53">
        <f t="shared" si="1"/>
        <v>469.37</v>
      </c>
      <c r="E53">
        <f t="shared" si="2"/>
        <v>75.439421733428176</v>
      </c>
      <c r="F53">
        <f t="shared" si="3"/>
        <v>1</v>
      </c>
    </row>
    <row r="54" spans="1:6" x14ac:dyDescent="0.2">
      <c r="A54">
        <v>195201195212</v>
      </c>
      <c r="B54">
        <v>497.03</v>
      </c>
      <c r="C54">
        <f t="shared" si="0"/>
        <v>1952</v>
      </c>
      <c r="D54">
        <f t="shared" si="1"/>
        <v>497.03</v>
      </c>
      <c r="E54">
        <f t="shared" si="2"/>
        <v>79.885071018952658</v>
      </c>
      <c r="F54">
        <f t="shared" si="3"/>
        <v>2</v>
      </c>
    </row>
    <row r="55" spans="1:6" x14ac:dyDescent="0.2">
      <c r="A55">
        <v>195301195312</v>
      </c>
      <c r="B55">
        <v>590.54999999999995</v>
      </c>
      <c r="C55">
        <f t="shared" si="0"/>
        <v>1953</v>
      </c>
      <c r="D55">
        <f t="shared" si="1"/>
        <v>590.54999999999995</v>
      </c>
      <c r="E55">
        <f t="shared" si="2"/>
        <v>94.916058769576267</v>
      </c>
      <c r="F55">
        <f t="shared" si="3"/>
        <v>3</v>
      </c>
    </row>
    <row r="56" spans="1:6" x14ac:dyDescent="0.2">
      <c r="A56">
        <v>195401195412</v>
      </c>
      <c r="B56">
        <v>809.49</v>
      </c>
      <c r="C56">
        <f t="shared" si="0"/>
        <v>1954</v>
      </c>
      <c r="D56">
        <f t="shared" si="1"/>
        <v>809.49</v>
      </c>
      <c r="E56">
        <f t="shared" si="2"/>
        <v>130.10515691031122</v>
      </c>
      <c r="F56">
        <f t="shared" si="3"/>
        <v>0</v>
      </c>
    </row>
    <row r="57" spans="1:6" x14ac:dyDescent="0.2">
      <c r="A57">
        <v>195501195512</v>
      </c>
      <c r="B57">
        <v>824.37</v>
      </c>
      <c r="C57">
        <f t="shared" si="0"/>
        <v>1955</v>
      </c>
      <c r="D57">
        <f t="shared" si="1"/>
        <v>824.37</v>
      </c>
      <c r="E57">
        <f t="shared" si="2"/>
        <v>132.49674264308794</v>
      </c>
      <c r="F57">
        <f t="shared" si="3"/>
        <v>0</v>
      </c>
    </row>
    <row r="58" spans="1:6" x14ac:dyDescent="0.2">
      <c r="A58">
        <v>195601195612</v>
      </c>
      <c r="B58">
        <v>1030.44</v>
      </c>
      <c r="C58">
        <f t="shared" si="0"/>
        <v>1956</v>
      </c>
      <c r="D58">
        <f t="shared" si="1"/>
        <v>1030.44</v>
      </c>
      <c r="E58">
        <f t="shared" si="2"/>
        <v>165.61731199478822</v>
      </c>
      <c r="F58">
        <f t="shared" si="3"/>
        <v>0</v>
      </c>
    </row>
    <row r="59" spans="1:6" x14ac:dyDescent="0.2">
      <c r="A59">
        <v>195701195712</v>
      </c>
      <c r="B59">
        <v>517.13</v>
      </c>
      <c r="C59">
        <f t="shared" si="0"/>
        <v>1957</v>
      </c>
      <c r="D59">
        <f t="shared" si="1"/>
        <v>517.13</v>
      </c>
      <c r="E59">
        <f t="shared" si="2"/>
        <v>83.11564045637283</v>
      </c>
      <c r="F59">
        <f t="shared" si="3"/>
        <v>1</v>
      </c>
    </row>
    <row r="60" spans="1:6" x14ac:dyDescent="0.2">
      <c r="A60">
        <v>195801195812</v>
      </c>
      <c r="B60">
        <v>601.41999999999996</v>
      </c>
      <c r="C60">
        <f t="shared" si="0"/>
        <v>1958</v>
      </c>
      <c r="D60">
        <f t="shared" si="1"/>
        <v>601.41999999999996</v>
      </c>
      <c r="E60">
        <f t="shared" si="2"/>
        <v>96.663137863345284</v>
      </c>
      <c r="F60">
        <f t="shared" si="3"/>
        <v>2</v>
      </c>
    </row>
    <row r="61" spans="1:6" x14ac:dyDescent="0.2">
      <c r="A61">
        <v>195901195912</v>
      </c>
      <c r="B61">
        <v>626.17999999999995</v>
      </c>
      <c r="C61">
        <f t="shared" si="0"/>
        <v>1959</v>
      </c>
      <c r="D61">
        <f t="shared" si="1"/>
        <v>626.17999999999995</v>
      </c>
      <c r="E61">
        <f t="shared" si="2"/>
        <v>100.6426850907345</v>
      </c>
      <c r="F61">
        <f t="shared" si="3"/>
        <v>0</v>
      </c>
    </row>
    <row r="62" spans="1:6" x14ac:dyDescent="0.2">
      <c r="A62">
        <v>196001196012</v>
      </c>
      <c r="B62">
        <v>526.12</v>
      </c>
      <c r="C62">
        <f t="shared" si="0"/>
        <v>1960</v>
      </c>
      <c r="D62">
        <f t="shared" si="1"/>
        <v>526.12</v>
      </c>
      <c r="E62">
        <f t="shared" si="2"/>
        <v>84.560556836592099</v>
      </c>
      <c r="F62">
        <f t="shared" si="3"/>
        <v>1</v>
      </c>
    </row>
    <row r="63" spans="1:6" x14ac:dyDescent="0.2">
      <c r="A63">
        <v>196101196112</v>
      </c>
      <c r="B63">
        <v>450.75</v>
      </c>
      <c r="C63">
        <f t="shared" si="0"/>
        <v>1961</v>
      </c>
      <c r="D63">
        <f t="shared" si="1"/>
        <v>450.75</v>
      </c>
      <c r="E63">
        <f t="shared" si="2"/>
        <v>72.446725070504627</v>
      </c>
      <c r="F63">
        <f t="shared" si="3"/>
        <v>2</v>
      </c>
    </row>
    <row r="64" spans="1:6" x14ac:dyDescent="0.2">
      <c r="A64">
        <v>196201196212</v>
      </c>
      <c r="B64">
        <v>604.92999999999995</v>
      </c>
      <c r="C64">
        <f t="shared" si="0"/>
        <v>1962</v>
      </c>
      <c r="D64">
        <f t="shared" si="1"/>
        <v>604.92999999999995</v>
      </c>
      <c r="E64">
        <f t="shared" si="2"/>
        <v>97.227282078536575</v>
      </c>
      <c r="F64">
        <f t="shared" si="3"/>
        <v>3</v>
      </c>
    </row>
    <row r="65" spans="1:6" x14ac:dyDescent="0.2">
      <c r="A65">
        <v>196301196312</v>
      </c>
      <c r="B65">
        <v>629.35</v>
      </c>
      <c r="C65">
        <f t="shared" si="0"/>
        <v>1963</v>
      </c>
      <c r="D65">
        <f t="shared" si="1"/>
        <v>629.35</v>
      </c>
      <c r="E65">
        <f t="shared" si="2"/>
        <v>101.15218285773065</v>
      </c>
      <c r="F65">
        <f t="shared" si="3"/>
        <v>0</v>
      </c>
    </row>
    <row r="66" spans="1:6" x14ac:dyDescent="0.2">
      <c r="A66">
        <v>196401196412</v>
      </c>
      <c r="B66">
        <v>626.73</v>
      </c>
      <c r="C66">
        <f t="shared" si="0"/>
        <v>1964</v>
      </c>
      <c r="D66">
        <f t="shared" si="1"/>
        <v>626.73</v>
      </c>
      <c r="E66">
        <f t="shared" si="2"/>
        <v>100.73108375693258</v>
      </c>
      <c r="F66">
        <f t="shared" si="3"/>
        <v>0</v>
      </c>
    </row>
    <row r="67" spans="1:6" x14ac:dyDescent="0.2">
      <c r="A67">
        <v>196501196512</v>
      </c>
      <c r="B67">
        <v>430.33</v>
      </c>
      <c r="C67">
        <f t="shared" ref="C67:C127" si="4">INT(A67/100000000)</f>
        <v>1965</v>
      </c>
      <c r="D67">
        <f t="shared" ref="D67:D127" si="5">B67</f>
        <v>430.33</v>
      </c>
      <c r="E67">
        <f t="shared" ref="E67:E127" si="6">D67 / $G$2 * 100</f>
        <v>69.164723681841934</v>
      </c>
      <c r="F67">
        <f t="shared" si="3"/>
        <v>1</v>
      </c>
    </row>
    <row r="68" spans="1:6" x14ac:dyDescent="0.2">
      <c r="A68">
        <v>196601196612</v>
      </c>
      <c r="B68">
        <v>435.86</v>
      </c>
      <c r="C68">
        <f t="shared" si="4"/>
        <v>1966</v>
      </c>
      <c r="D68">
        <f t="shared" si="5"/>
        <v>435.86</v>
      </c>
      <c r="E68">
        <f t="shared" si="6"/>
        <v>70.053532089251576</v>
      </c>
      <c r="F68">
        <f t="shared" ref="F68:F127" si="7">IF(E68&lt;100, F67+1, 0)</f>
        <v>2</v>
      </c>
    </row>
    <row r="69" spans="1:6" x14ac:dyDescent="0.2">
      <c r="A69">
        <v>196701196712</v>
      </c>
      <c r="B69">
        <v>548.11</v>
      </c>
      <c r="C69">
        <f t="shared" si="4"/>
        <v>1967</v>
      </c>
      <c r="D69">
        <f t="shared" si="5"/>
        <v>548.11</v>
      </c>
      <c r="E69">
        <f t="shared" si="6"/>
        <v>88.094896236038352</v>
      </c>
      <c r="F69">
        <f t="shared" si="7"/>
        <v>3</v>
      </c>
    </row>
    <row r="70" spans="1:6" x14ac:dyDescent="0.2">
      <c r="A70">
        <v>196801196812</v>
      </c>
      <c r="B70">
        <v>632.65</v>
      </c>
      <c r="C70">
        <f t="shared" si="4"/>
        <v>1968</v>
      </c>
      <c r="D70">
        <f t="shared" si="5"/>
        <v>632.65</v>
      </c>
      <c r="E70">
        <f t="shared" si="6"/>
        <v>101.68257485491901</v>
      </c>
      <c r="F70">
        <f t="shared" si="7"/>
        <v>0</v>
      </c>
    </row>
    <row r="71" spans="1:6" x14ac:dyDescent="0.2">
      <c r="A71">
        <v>196901196912</v>
      </c>
      <c r="B71">
        <v>441.25</v>
      </c>
      <c r="C71">
        <f t="shared" si="4"/>
        <v>1969</v>
      </c>
      <c r="D71">
        <f t="shared" si="5"/>
        <v>441.25</v>
      </c>
      <c r="E71">
        <f t="shared" si="6"/>
        <v>70.919839017992601</v>
      </c>
      <c r="F71">
        <f t="shared" si="7"/>
        <v>1</v>
      </c>
    </row>
    <row r="72" spans="1:6" x14ac:dyDescent="0.2">
      <c r="A72">
        <v>197001197012</v>
      </c>
      <c r="B72">
        <v>532.89</v>
      </c>
      <c r="C72">
        <f t="shared" si="4"/>
        <v>1970</v>
      </c>
      <c r="D72">
        <f t="shared" si="5"/>
        <v>532.89</v>
      </c>
      <c r="E72">
        <f t="shared" si="6"/>
        <v>85.648664055066462</v>
      </c>
      <c r="F72">
        <f t="shared" si="7"/>
        <v>2</v>
      </c>
    </row>
    <row r="73" spans="1:6" x14ac:dyDescent="0.2">
      <c r="A73">
        <v>197101197112</v>
      </c>
      <c r="B73">
        <v>729.61</v>
      </c>
      <c r="C73">
        <f t="shared" si="4"/>
        <v>1971</v>
      </c>
      <c r="D73">
        <f t="shared" si="5"/>
        <v>729.61</v>
      </c>
      <c r="E73">
        <f t="shared" si="6"/>
        <v>117.26645608139961</v>
      </c>
      <c r="F73">
        <f t="shared" si="7"/>
        <v>0</v>
      </c>
    </row>
    <row r="74" spans="1:6" x14ac:dyDescent="0.2">
      <c r="A74">
        <v>197201197212</v>
      </c>
      <c r="B74">
        <v>573.57000000000005</v>
      </c>
      <c r="C74">
        <f t="shared" si="4"/>
        <v>1972</v>
      </c>
      <c r="D74">
        <f t="shared" si="5"/>
        <v>573.57000000000005</v>
      </c>
      <c r="E74">
        <f t="shared" si="6"/>
        <v>92.186950856770579</v>
      </c>
      <c r="F74">
        <f t="shared" si="7"/>
        <v>1</v>
      </c>
    </row>
    <row r="75" spans="1:6" x14ac:dyDescent="0.2">
      <c r="A75">
        <v>197301197312</v>
      </c>
      <c r="B75">
        <v>880.35</v>
      </c>
      <c r="C75">
        <f t="shared" si="4"/>
        <v>1973</v>
      </c>
      <c r="D75">
        <f t="shared" si="5"/>
        <v>880.35</v>
      </c>
      <c r="E75">
        <f t="shared" si="6"/>
        <v>141.49411961357458</v>
      </c>
      <c r="F75">
        <f t="shared" si="7"/>
        <v>0</v>
      </c>
    </row>
    <row r="76" spans="1:6" x14ac:dyDescent="0.2">
      <c r="A76">
        <v>197401197412</v>
      </c>
      <c r="B76">
        <v>1024.8800000000001</v>
      </c>
      <c r="C76">
        <f t="shared" si="4"/>
        <v>1974</v>
      </c>
      <c r="D76">
        <f t="shared" si="5"/>
        <v>1024.8800000000001</v>
      </c>
      <c r="E76">
        <f t="shared" si="6"/>
        <v>164.7236818419496</v>
      </c>
      <c r="F76">
        <f t="shared" si="7"/>
        <v>0</v>
      </c>
    </row>
    <row r="77" spans="1:6" x14ac:dyDescent="0.2">
      <c r="A77">
        <v>197501197512</v>
      </c>
      <c r="B77">
        <v>791.03</v>
      </c>
      <c r="C77">
        <f t="shared" si="4"/>
        <v>1975</v>
      </c>
      <c r="D77">
        <f t="shared" si="5"/>
        <v>791.03</v>
      </c>
      <c r="E77">
        <f t="shared" si="6"/>
        <v>127.13817622300891</v>
      </c>
      <c r="F77">
        <f t="shared" si="7"/>
        <v>0</v>
      </c>
    </row>
    <row r="78" spans="1:6" x14ac:dyDescent="0.2">
      <c r="A78">
        <v>197601197612</v>
      </c>
      <c r="B78">
        <v>791.87</v>
      </c>
      <c r="C78">
        <f t="shared" si="4"/>
        <v>1976</v>
      </c>
      <c r="D78">
        <f t="shared" si="5"/>
        <v>791.87</v>
      </c>
      <c r="E78">
        <f t="shared" si="6"/>
        <v>127.27318509502051</v>
      </c>
      <c r="F78">
        <f t="shared" si="7"/>
        <v>0</v>
      </c>
    </row>
    <row r="79" spans="1:6" x14ac:dyDescent="0.2">
      <c r="A79">
        <v>197701197712</v>
      </c>
      <c r="B79">
        <v>703.15</v>
      </c>
      <c r="C79">
        <f t="shared" si="4"/>
        <v>1977</v>
      </c>
      <c r="D79">
        <f t="shared" si="5"/>
        <v>703.15</v>
      </c>
      <c r="E79">
        <f t="shared" si="6"/>
        <v>113.01367661303455</v>
      </c>
      <c r="F79">
        <f t="shared" si="7"/>
        <v>0</v>
      </c>
    </row>
    <row r="80" spans="1:6" x14ac:dyDescent="0.2">
      <c r="A80">
        <v>197801197812</v>
      </c>
      <c r="B80">
        <v>634.38</v>
      </c>
      <c r="C80">
        <f t="shared" si="4"/>
        <v>1978</v>
      </c>
      <c r="D80">
        <f t="shared" si="5"/>
        <v>634.38</v>
      </c>
      <c r="E80">
        <f t="shared" si="6"/>
        <v>101.96062884132384</v>
      </c>
      <c r="F80">
        <f t="shared" si="7"/>
        <v>0</v>
      </c>
    </row>
    <row r="81" spans="1:6" x14ac:dyDescent="0.2">
      <c r="A81">
        <v>197901197912</v>
      </c>
      <c r="B81">
        <v>657.83</v>
      </c>
      <c r="C81">
        <f t="shared" si="4"/>
        <v>1979</v>
      </c>
      <c r="D81">
        <f t="shared" si="5"/>
        <v>657.83</v>
      </c>
      <c r="E81">
        <f t="shared" si="6"/>
        <v>105.72962651831406</v>
      </c>
      <c r="F81">
        <f t="shared" si="7"/>
        <v>0</v>
      </c>
    </row>
    <row r="82" spans="1:6" x14ac:dyDescent="0.2">
      <c r="A82">
        <v>198001198012</v>
      </c>
      <c r="B82">
        <v>490.51</v>
      </c>
      <c r="C82">
        <f t="shared" si="4"/>
        <v>1980</v>
      </c>
      <c r="D82">
        <f t="shared" si="5"/>
        <v>490.51</v>
      </c>
      <c r="E82">
        <f t="shared" si="6"/>
        <v>78.837145012386515</v>
      </c>
      <c r="F82">
        <f t="shared" si="7"/>
        <v>1</v>
      </c>
    </row>
    <row r="83" spans="1:6" x14ac:dyDescent="0.2">
      <c r="A83">
        <v>198101198112</v>
      </c>
      <c r="B83">
        <v>791.48</v>
      </c>
      <c r="C83">
        <f t="shared" si="4"/>
        <v>1981</v>
      </c>
      <c r="D83">
        <f t="shared" si="5"/>
        <v>791.48</v>
      </c>
      <c r="E83">
        <f t="shared" si="6"/>
        <v>127.21050240444369</v>
      </c>
      <c r="F83">
        <f t="shared" si="7"/>
        <v>0</v>
      </c>
    </row>
    <row r="84" spans="1:6" x14ac:dyDescent="0.2">
      <c r="A84">
        <v>198201198212</v>
      </c>
      <c r="B84">
        <v>434.79</v>
      </c>
      <c r="C84">
        <f t="shared" si="4"/>
        <v>1982</v>
      </c>
      <c r="D84">
        <f t="shared" si="5"/>
        <v>434.79</v>
      </c>
      <c r="E84">
        <f t="shared" si="6"/>
        <v>69.881556502284425</v>
      </c>
      <c r="F84">
        <f t="shared" si="7"/>
        <v>1</v>
      </c>
    </row>
    <row r="85" spans="1:6" x14ac:dyDescent="0.2">
      <c r="A85">
        <v>198301198312</v>
      </c>
      <c r="B85">
        <v>662.68</v>
      </c>
      <c r="C85">
        <f t="shared" si="4"/>
        <v>1983</v>
      </c>
      <c r="D85">
        <f t="shared" si="5"/>
        <v>662.68</v>
      </c>
      <c r="E85">
        <f t="shared" si="6"/>
        <v>106.50914202933333</v>
      </c>
      <c r="F85">
        <f t="shared" si="7"/>
        <v>0</v>
      </c>
    </row>
    <row r="86" spans="1:6" x14ac:dyDescent="0.2">
      <c r="A86">
        <v>198401198412</v>
      </c>
      <c r="B86">
        <v>711.43</v>
      </c>
      <c r="C86">
        <f t="shared" si="4"/>
        <v>1984</v>
      </c>
      <c r="D86">
        <f t="shared" si="5"/>
        <v>711.43</v>
      </c>
      <c r="E86">
        <f t="shared" si="6"/>
        <v>114.34447835143449</v>
      </c>
      <c r="F86">
        <f t="shared" si="7"/>
        <v>0</v>
      </c>
    </row>
    <row r="87" spans="1:6" x14ac:dyDescent="0.2">
      <c r="A87">
        <v>198501198512</v>
      </c>
      <c r="B87">
        <v>550.14</v>
      </c>
      <c r="C87">
        <f t="shared" si="4"/>
        <v>1985</v>
      </c>
      <c r="D87">
        <f t="shared" si="5"/>
        <v>550.14</v>
      </c>
      <c r="E87">
        <f t="shared" si="6"/>
        <v>88.42116767673302</v>
      </c>
      <c r="F87">
        <f t="shared" si="7"/>
        <v>1</v>
      </c>
    </row>
    <row r="88" spans="1:6" x14ac:dyDescent="0.2">
      <c r="A88">
        <v>198601198612</v>
      </c>
      <c r="B88">
        <v>471.53</v>
      </c>
      <c r="C88">
        <f t="shared" si="4"/>
        <v>1986</v>
      </c>
      <c r="D88">
        <f t="shared" si="5"/>
        <v>471.53</v>
      </c>
      <c r="E88">
        <f t="shared" si="6"/>
        <v>75.786587404315114</v>
      </c>
      <c r="F88">
        <f t="shared" si="7"/>
        <v>2</v>
      </c>
    </row>
    <row r="89" spans="1:6" x14ac:dyDescent="0.2">
      <c r="A89">
        <v>198701198712</v>
      </c>
      <c r="B89">
        <v>564.54</v>
      </c>
      <c r="C89">
        <f t="shared" si="4"/>
        <v>1987</v>
      </c>
      <c r="D89">
        <f t="shared" si="5"/>
        <v>564.54</v>
      </c>
      <c r="E89">
        <f t="shared" si="6"/>
        <v>90.73560548264598</v>
      </c>
      <c r="F89">
        <f t="shared" si="7"/>
        <v>3</v>
      </c>
    </row>
    <row r="90" spans="1:6" x14ac:dyDescent="0.2">
      <c r="A90">
        <v>198801198812</v>
      </c>
      <c r="B90">
        <v>559.13</v>
      </c>
      <c r="C90">
        <f t="shared" si="4"/>
        <v>1988</v>
      </c>
      <c r="D90">
        <f t="shared" si="5"/>
        <v>559.13</v>
      </c>
      <c r="E90">
        <f t="shared" si="6"/>
        <v>89.866084056952303</v>
      </c>
      <c r="F90">
        <f t="shared" si="7"/>
        <v>4</v>
      </c>
    </row>
    <row r="91" spans="1:6" x14ac:dyDescent="0.2">
      <c r="A91">
        <v>198901198912</v>
      </c>
      <c r="B91">
        <v>705.16</v>
      </c>
      <c r="C91">
        <f t="shared" si="4"/>
        <v>1989</v>
      </c>
      <c r="D91">
        <f t="shared" si="5"/>
        <v>705.16</v>
      </c>
      <c r="E91">
        <f t="shared" si="6"/>
        <v>113.33673355677657</v>
      </c>
      <c r="F91">
        <f t="shared" si="7"/>
        <v>0</v>
      </c>
    </row>
    <row r="92" spans="1:6" x14ac:dyDescent="0.2">
      <c r="A92">
        <v>199001199012</v>
      </c>
      <c r="B92">
        <v>604.53</v>
      </c>
      <c r="C92">
        <f t="shared" si="4"/>
        <v>1990</v>
      </c>
      <c r="D92">
        <f t="shared" si="5"/>
        <v>604.53</v>
      </c>
      <c r="E92">
        <f t="shared" si="6"/>
        <v>97.162992139483435</v>
      </c>
      <c r="F92">
        <f t="shared" si="7"/>
        <v>1</v>
      </c>
    </row>
    <row r="93" spans="1:6" x14ac:dyDescent="0.2">
      <c r="A93">
        <v>199101199112</v>
      </c>
      <c r="B93">
        <v>699.31</v>
      </c>
      <c r="C93">
        <f t="shared" si="4"/>
        <v>1991</v>
      </c>
      <c r="D93">
        <f t="shared" si="5"/>
        <v>699.31</v>
      </c>
      <c r="E93">
        <f t="shared" si="6"/>
        <v>112.39649319812442</v>
      </c>
      <c r="F93">
        <f t="shared" si="7"/>
        <v>0</v>
      </c>
    </row>
    <row r="94" spans="1:6" x14ac:dyDescent="0.2">
      <c r="A94">
        <v>199201199212</v>
      </c>
      <c r="B94">
        <v>509.12</v>
      </c>
      <c r="C94">
        <f t="shared" si="4"/>
        <v>1992</v>
      </c>
      <c r="D94">
        <f t="shared" si="5"/>
        <v>509.12</v>
      </c>
      <c r="E94">
        <f t="shared" si="6"/>
        <v>81.828234426833745</v>
      </c>
      <c r="F94">
        <f t="shared" si="7"/>
        <v>1</v>
      </c>
    </row>
    <row r="95" spans="1:6" x14ac:dyDescent="0.2">
      <c r="A95">
        <v>199301199312</v>
      </c>
      <c r="B95">
        <v>504.25</v>
      </c>
      <c r="C95">
        <f t="shared" si="4"/>
        <v>1993</v>
      </c>
      <c r="D95">
        <f t="shared" si="5"/>
        <v>504.25</v>
      </c>
      <c r="E95">
        <f t="shared" si="6"/>
        <v>81.045504418861796</v>
      </c>
      <c r="F95">
        <f t="shared" si="7"/>
        <v>2</v>
      </c>
    </row>
    <row r="96" spans="1:6" x14ac:dyDescent="0.2">
      <c r="A96">
        <v>199401199412</v>
      </c>
      <c r="B96">
        <v>432.17</v>
      </c>
      <c r="C96">
        <f t="shared" si="4"/>
        <v>1994</v>
      </c>
      <c r="D96">
        <f t="shared" si="5"/>
        <v>432.17</v>
      </c>
      <c r="E96">
        <f t="shared" si="6"/>
        <v>69.46045740148638</v>
      </c>
      <c r="F96">
        <f t="shared" si="7"/>
        <v>3</v>
      </c>
    </row>
    <row r="97" spans="1:6" x14ac:dyDescent="0.2">
      <c r="A97">
        <v>199501199512</v>
      </c>
      <c r="B97">
        <v>606.04999999999995</v>
      </c>
      <c r="C97">
        <f t="shared" si="4"/>
        <v>1995</v>
      </c>
      <c r="D97">
        <f t="shared" si="5"/>
        <v>606.04999999999995</v>
      </c>
      <c r="E97">
        <f t="shared" si="6"/>
        <v>97.407293907885347</v>
      </c>
      <c r="F97">
        <f t="shared" si="7"/>
        <v>4</v>
      </c>
    </row>
    <row r="98" spans="1:6" x14ac:dyDescent="0.2">
      <c r="A98">
        <v>199601199612</v>
      </c>
      <c r="B98">
        <v>620.53</v>
      </c>
      <c r="C98">
        <f t="shared" si="4"/>
        <v>1996</v>
      </c>
      <c r="D98">
        <f t="shared" si="5"/>
        <v>620.53</v>
      </c>
      <c r="E98">
        <f t="shared" si="6"/>
        <v>99.73458970160894</v>
      </c>
      <c r="F98">
        <f t="shared" si="7"/>
        <v>5</v>
      </c>
    </row>
    <row r="99" spans="1:6" x14ac:dyDescent="0.2">
      <c r="A99">
        <v>199701199712</v>
      </c>
      <c r="B99">
        <v>686.1</v>
      </c>
      <c r="C99">
        <f t="shared" si="4"/>
        <v>1997</v>
      </c>
      <c r="D99">
        <f t="shared" si="5"/>
        <v>686.1</v>
      </c>
      <c r="E99">
        <f t="shared" si="6"/>
        <v>110.27331796089457</v>
      </c>
      <c r="F99">
        <f t="shared" si="7"/>
        <v>0</v>
      </c>
    </row>
    <row r="100" spans="1:6" x14ac:dyDescent="0.2">
      <c r="A100">
        <v>199801199812</v>
      </c>
      <c r="B100">
        <v>782.46</v>
      </c>
      <c r="C100">
        <f t="shared" si="4"/>
        <v>1998</v>
      </c>
      <c r="D100">
        <f t="shared" si="5"/>
        <v>782.46</v>
      </c>
      <c r="E100">
        <f t="shared" si="6"/>
        <v>125.76076427879545</v>
      </c>
      <c r="F100">
        <f t="shared" si="7"/>
        <v>0</v>
      </c>
    </row>
    <row r="101" spans="1:6" x14ac:dyDescent="0.2">
      <c r="A101">
        <v>199901199912</v>
      </c>
      <c r="B101">
        <v>780.25</v>
      </c>
      <c r="C101">
        <f t="shared" si="4"/>
        <v>1999</v>
      </c>
      <c r="D101">
        <f t="shared" si="5"/>
        <v>780.25</v>
      </c>
      <c r="E101">
        <f t="shared" si="6"/>
        <v>125.40556236552685</v>
      </c>
      <c r="F101">
        <f t="shared" si="7"/>
        <v>0</v>
      </c>
    </row>
    <row r="102" spans="1:6" x14ac:dyDescent="0.2">
      <c r="A102">
        <v>200001200012</v>
      </c>
      <c r="B102">
        <v>895.95</v>
      </c>
      <c r="C102">
        <f t="shared" si="4"/>
        <v>2000</v>
      </c>
      <c r="D102">
        <f t="shared" si="5"/>
        <v>895.95</v>
      </c>
      <c r="E102">
        <f t="shared" si="6"/>
        <v>144.00142723664698</v>
      </c>
      <c r="F102">
        <f t="shared" si="7"/>
        <v>0</v>
      </c>
    </row>
    <row r="103" spans="1:6" x14ac:dyDescent="0.2">
      <c r="A103">
        <v>200101200112</v>
      </c>
      <c r="B103">
        <v>509.72</v>
      </c>
      <c r="C103">
        <f t="shared" si="4"/>
        <v>2001</v>
      </c>
      <c r="D103">
        <f t="shared" si="5"/>
        <v>509.72</v>
      </c>
      <c r="E103">
        <f t="shared" si="6"/>
        <v>81.924669335413455</v>
      </c>
      <c r="F103">
        <f t="shared" si="7"/>
        <v>1</v>
      </c>
    </row>
    <row r="104" spans="1:6" x14ac:dyDescent="0.2">
      <c r="A104">
        <v>200201200212</v>
      </c>
      <c r="B104">
        <v>385.01</v>
      </c>
      <c r="C104">
        <f t="shared" si="4"/>
        <v>2002</v>
      </c>
      <c r="D104">
        <f t="shared" si="5"/>
        <v>385.01</v>
      </c>
      <c r="E104">
        <f t="shared" si="6"/>
        <v>61.880673587121429</v>
      </c>
      <c r="F104">
        <f t="shared" si="7"/>
        <v>2</v>
      </c>
    </row>
    <row r="105" spans="1:6" x14ac:dyDescent="0.2">
      <c r="A105">
        <v>200301200312</v>
      </c>
      <c r="B105">
        <v>523.86</v>
      </c>
      <c r="C105">
        <f t="shared" si="4"/>
        <v>2003</v>
      </c>
      <c r="D105">
        <f t="shared" si="5"/>
        <v>523.86</v>
      </c>
      <c r="E105">
        <f t="shared" si="6"/>
        <v>84.197318680941876</v>
      </c>
      <c r="F105">
        <f t="shared" si="7"/>
        <v>3</v>
      </c>
    </row>
    <row r="106" spans="1:6" x14ac:dyDescent="0.2">
      <c r="A106">
        <v>200401200412</v>
      </c>
      <c r="B106">
        <v>604.38</v>
      </c>
      <c r="C106">
        <f t="shared" si="4"/>
        <v>2004</v>
      </c>
      <c r="D106">
        <f t="shared" si="5"/>
        <v>604.38</v>
      </c>
      <c r="E106">
        <f t="shared" si="6"/>
        <v>97.138883412338501</v>
      </c>
      <c r="F106">
        <f t="shared" si="7"/>
        <v>4</v>
      </c>
    </row>
    <row r="107" spans="1:6" x14ac:dyDescent="0.2">
      <c r="A107">
        <v>200501200512</v>
      </c>
      <c r="B107">
        <v>471.7</v>
      </c>
      <c r="C107">
        <f t="shared" si="4"/>
        <v>2005</v>
      </c>
      <c r="D107">
        <f t="shared" si="5"/>
        <v>471.7</v>
      </c>
      <c r="E107">
        <f t="shared" si="6"/>
        <v>75.8139106284127</v>
      </c>
      <c r="F107">
        <f t="shared" si="7"/>
        <v>5</v>
      </c>
    </row>
    <row r="108" spans="1:6" x14ac:dyDescent="0.2">
      <c r="A108">
        <v>200601200612</v>
      </c>
      <c r="B108">
        <v>600.16</v>
      </c>
      <c r="C108">
        <f t="shared" si="4"/>
        <v>2006</v>
      </c>
      <c r="D108">
        <f t="shared" si="5"/>
        <v>600.16</v>
      </c>
      <c r="E108">
        <f t="shared" si="6"/>
        <v>96.460624555327897</v>
      </c>
      <c r="F108">
        <f t="shared" si="7"/>
        <v>6</v>
      </c>
    </row>
    <row r="109" spans="1:6" x14ac:dyDescent="0.2">
      <c r="A109">
        <v>200701200712</v>
      </c>
      <c r="B109">
        <v>664.57</v>
      </c>
      <c r="C109">
        <f t="shared" si="4"/>
        <v>2007</v>
      </c>
      <c r="D109">
        <f t="shared" si="5"/>
        <v>664.57</v>
      </c>
      <c r="E109">
        <f t="shared" si="6"/>
        <v>106.81291199135943</v>
      </c>
      <c r="F109">
        <f t="shared" si="7"/>
        <v>0</v>
      </c>
    </row>
    <row r="110" spans="1:6" x14ac:dyDescent="0.2">
      <c r="A110">
        <v>200801200812</v>
      </c>
      <c r="B110">
        <v>655</v>
      </c>
      <c r="C110">
        <f t="shared" si="4"/>
        <v>2008</v>
      </c>
      <c r="D110">
        <f t="shared" si="5"/>
        <v>655</v>
      </c>
      <c r="E110">
        <f t="shared" si="6"/>
        <v>105.27477519951309</v>
      </c>
      <c r="F110">
        <f t="shared" si="7"/>
        <v>0</v>
      </c>
    </row>
    <row r="111" spans="1:6" x14ac:dyDescent="0.2">
      <c r="A111">
        <v>200901200912</v>
      </c>
      <c r="B111">
        <v>683.44</v>
      </c>
      <c r="C111">
        <f t="shared" si="4"/>
        <v>2009</v>
      </c>
      <c r="D111">
        <f t="shared" si="5"/>
        <v>683.44</v>
      </c>
      <c r="E111">
        <f t="shared" si="6"/>
        <v>109.8457898661912</v>
      </c>
      <c r="F111">
        <f t="shared" si="7"/>
        <v>0</v>
      </c>
    </row>
    <row r="112" spans="1:6" x14ac:dyDescent="0.2">
      <c r="A112">
        <v>201001201012</v>
      </c>
      <c r="B112">
        <v>1113.33</v>
      </c>
      <c r="C112">
        <f t="shared" si="4"/>
        <v>2010</v>
      </c>
      <c r="D112">
        <f t="shared" si="5"/>
        <v>1113.33</v>
      </c>
      <c r="E112">
        <f t="shared" si="6"/>
        <v>178.93979461507465</v>
      </c>
      <c r="F112">
        <f t="shared" si="7"/>
        <v>0</v>
      </c>
    </row>
    <row r="113" spans="1:6" x14ac:dyDescent="0.2">
      <c r="A113">
        <v>201101201112</v>
      </c>
      <c r="B113">
        <v>824.36</v>
      </c>
      <c r="C113">
        <f t="shared" si="4"/>
        <v>2011</v>
      </c>
      <c r="D113">
        <f t="shared" si="5"/>
        <v>824.36</v>
      </c>
      <c r="E113">
        <f t="shared" si="6"/>
        <v>132.49513539461162</v>
      </c>
      <c r="F113">
        <f t="shared" si="7"/>
        <v>0</v>
      </c>
    </row>
    <row r="114" spans="1:6" x14ac:dyDescent="0.2">
      <c r="A114">
        <v>201201201212</v>
      </c>
      <c r="B114">
        <v>656.9</v>
      </c>
      <c r="C114">
        <f t="shared" si="4"/>
        <v>2012</v>
      </c>
      <c r="D114">
        <f t="shared" si="5"/>
        <v>656.9</v>
      </c>
      <c r="E114">
        <f t="shared" si="6"/>
        <v>105.5801524100155</v>
      </c>
      <c r="F114">
        <f t="shared" si="7"/>
        <v>0</v>
      </c>
    </row>
    <row r="115" spans="1:6" x14ac:dyDescent="0.2">
      <c r="A115">
        <v>201301201312</v>
      </c>
      <c r="B115">
        <v>485.67</v>
      </c>
      <c r="C115">
        <f t="shared" si="4"/>
        <v>2013</v>
      </c>
      <c r="D115">
        <f t="shared" si="5"/>
        <v>485.67</v>
      </c>
      <c r="E115">
        <f t="shared" si="6"/>
        <v>78.059236749843549</v>
      </c>
      <c r="F115">
        <f t="shared" si="7"/>
        <v>1</v>
      </c>
    </row>
    <row r="116" spans="1:6" x14ac:dyDescent="0.2">
      <c r="A116">
        <v>201401201412</v>
      </c>
      <c r="B116">
        <v>559.14</v>
      </c>
      <c r="C116">
        <f t="shared" si="4"/>
        <v>2014</v>
      </c>
      <c r="D116">
        <f t="shared" si="5"/>
        <v>559.14</v>
      </c>
      <c r="E116">
        <f t="shared" si="6"/>
        <v>89.867691305428622</v>
      </c>
      <c r="F116">
        <f t="shared" si="7"/>
        <v>2</v>
      </c>
    </row>
    <row r="117" spans="1:6" x14ac:dyDescent="0.2">
      <c r="A117">
        <v>201501201512</v>
      </c>
      <c r="B117">
        <v>492.45</v>
      </c>
      <c r="C117">
        <f t="shared" si="4"/>
        <v>2015</v>
      </c>
      <c r="D117">
        <f t="shared" si="5"/>
        <v>492.45</v>
      </c>
      <c r="E117">
        <f t="shared" si="6"/>
        <v>79.148951216794231</v>
      </c>
      <c r="F117">
        <f t="shared" si="7"/>
        <v>3</v>
      </c>
    </row>
    <row r="118" spans="1:6" x14ac:dyDescent="0.2">
      <c r="A118">
        <v>201601201612</v>
      </c>
      <c r="B118">
        <v>626.15</v>
      </c>
      <c r="C118">
        <f t="shared" si="4"/>
        <v>2016</v>
      </c>
      <c r="D118">
        <f t="shared" si="5"/>
        <v>626.15</v>
      </c>
      <c r="E118">
        <f t="shared" si="6"/>
        <v>100.63786334530553</v>
      </c>
      <c r="F118">
        <f t="shared" si="7"/>
        <v>0</v>
      </c>
    </row>
    <row r="119" spans="1:6" x14ac:dyDescent="0.2">
      <c r="A119">
        <v>201701201712</v>
      </c>
      <c r="B119">
        <v>550.11</v>
      </c>
      <c r="C119">
        <f t="shared" si="4"/>
        <v>2017</v>
      </c>
      <c r="D119">
        <f t="shared" si="5"/>
        <v>550.11</v>
      </c>
      <c r="E119">
        <f t="shared" si="6"/>
        <v>88.416345931304036</v>
      </c>
      <c r="F119">
        <f t="shared" si="7"/>
        <v>1</v>
      </c>
    </row>
    <row r="120" spans="1:6" x14ac:dyDescent="0.2">
      <c r="A120">
        <v>201801201812</v>
      </c>
      <c r="B120">
        <v>522.41</v>
      </c>
      <c r="C120">
        <f t="shared" si="4"/>
        <v>2018</v>
      </c>
      <c r="D120">
        <f t="shared" si="5"/>
        <v>522.41</v>
      </c>
      <c r="E120">
        <f t="shared" si="6"/>
        <v>83.964267651874252</v>
      </c>
      <c r="F120">
        <f t="shared" si="7"/>
        <v>2</v>
      </c>
    </row>
    <row r="121" spans="1:6" x14ac:dyDescent="0.2">
      <c r="A121">
        <v>201901201912</v>
      </c>
      <c r="B121">
        <v>483.87</v>
      </c>
      <c r="C121">
        <f t="shared" si="4"/>
        <v>2019</v>
      </c>
      <c r="D121">
        <f t="shared" si="5"/>
        <v>483.87</v>
      </c>
      <c r="E121">
        <f t="shared" si="6"/>
        <v>77.769932024104421</v>
      </c>
      <c r="F121">
        <f t="shared" si="7"/>
        <v>3</v>
      </c>
    </row>
    <row r="122" spans="1:6" x14ac:dyDescent="0.2">
      <c r="A122">
        <v>202001202012</v>
      </c>
      <c r="B122">
        <v>578.34</v>
      </c>
      <c r="C122">
        <f t="shared" si="4"/>
        <v>2020</v>
      </c>
      <c r="D122">
        <f t="shared" si="5"/>
        <v>578.34</v>
      </c>
      <c r="E122">
        <f t="shared" si="6"/>
        <v>92.953608379979244</v>
      </c>
      <c r="F122">
        <f t="shared" si="7"/>
        <v>4</v>
      </c>
    </row>
    <row r="123" spans="1:6" x14ac:dyDescent="0.2">
      <c r="A123">
        <v>202101202112</v>
      </c>
      <c r="B123">
        <v>675.05</v>
      </c>
      <c r="C123">
        <f t="shared" si="4"/>
        <v>2021</v>
      </c>
      <c r="D123">
        <f t="shared" si="5"/>
        <v>675.05</v>
      </c>
      <c r="E123">
        <f t="shared" si="6"/>
        <v>108.49730839455161</v>
      </c>
      <c r="F123">
        <f t="shared" si="7"/>
        <v>0</v>
      </c>
    </row>
    <row r="124" spans="1:6" x14ac:dyDescent="0.2">
      <c r="A124">
        <v>202201202212</v>
      </c>
      <c r="B124">
        <v>779.97</v>
      </c>
      <c r="C124">
        <f t="shared" si="4"/>
        <v>2022</v>
      </c>
      <c r="D124">
        <f t="shared" si="5"/>
        <v>779.97</v>
      </c>
      <c r="E124">
        <f t="shared" si="6"/>
        <v>125.36055940818966</v>
      </c>
      <c r="F124">
        <f t="shared" si="7"/>
        <v>0</v>
      </c>
    </row>
    <row r="125" spans="1:6" x14ac:dyDescent="0.2">
      <c r="A125">
        <v>202301202312</v>
      </c>
      <c r="B125">
        <v>694.84</v>
      </c>
      <c r="C125">
        <f t="shared" si="4"/>
        <v>2023</v>
      </c>
      <c r="D125">
        <f t="shared" si="5"/>
        <v>694.84</v>
      </c>
      <c r="E125">
        <f t="shared" si="6"/>
        <v>111.67805312920562</v>
      </c>
      <c r="F125">
        <f t="shared" si="7"/>
        <v>0</v>
      </c>
    </row>
    <row r="126" spans="1:6" x14ac:dyDescent="0.2">
      <c r="A126">
        <v>202401202412</v>
      </c>
      <c r="B126">
        <v>770.36</v>
      </c>
      <c r="C126">
        <f t="shared" si="4"/>
        <v>2024</v>
      </c>
      <c r="D126">
        <f t="shared" si="5"/>
        <v>770.36</v>
      </c>
      <c r="E126">
        <f t="shared" si="6"/>
        <v>123.81599362243803</v>
      </c>
      <c r="F126">
        <f t="shared" si="7"/>
        <v>0</v>
      </c>
    </row>
    <row r="127" spans="1:6" x14ac:dyDescent="0.2">
      <c r="A127">
        <v>202501202512</v>
      </c>
      <c r="B127">
        <v>831.16</v>
      </c>
      <c r="C127">
        <f t="shared" si="4"/>
        <v>2025</v>
      </c>
      <c r="D127">
        <f t="shared" si="5"/>
        <v>831.16</v>
      </c>
      <c r="E127">
        <f t="shared" si="6"/>
        <v>133.58806435851497</v>
      </c>
      <c r="F127">
        <f t="shared" si="7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28C1-7015-2C40-95CB-B98274170CEA}">
  <dimension ref="A1:H127"/>
  <sheetViews>
    <sheetView workbookViewId="0">
      <selection activeCell="H14" sqref="H14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177.65</v>
      </c>
      <c r="C2">
        <f>INT(A2/100000000)</f>
        <v>1900</v>
      </c>
      <c r="D2">
        <f>B2</f>
        <v>177.65</v>
      </c>
      <c r="E2">
        <f>D2 / $G$2 * 100</f>
        <v>79.382102050573963</v>
      </c>
      <c r="F2">
        <f>IF(E2&lt;100, 1, 0)</f>
        <v>1</v>
      </c>
      <c r="G2">
        <f>AVERAGEIFS(D:D, C:C, "&gt;=1961", C:C, "&lt;=1990")</f>
        <v>223.79100000000003</v>
      </c>
    </row>
    <row r="3" spans="1:8" x14ac:dyDescent="0.2">
      <c r="A3">
        <v>190101190112</v>
      </c>
      <c r="B3">
        <v>193.86</v>
      </c>
      <c r="C3">
        <f t="shared" ref="C3:C66" si="0">INT(A3/100000000)</f>
        <v>1901</v>
      </c>
      <c r="D3">
        <f t="shared" ref="D3:D66" si="1">B3</f>
        <v>193.86</v>
      </c>
      <c r="E3">
        <f t="shared" ref="E3:E66" si="2">D3 / $G$2 * 100</f>
        <v>86.625467512098339</v>
      </c>
      <c r="F3">
        <f>IF(E3&lt;100, F2+1, 0)</f>
        <v>2</v>
      </c>
    </row>
    <row r="4" spans="1:8" x14ac:dyDescent="0.2">
      <c r="A4">
        <v>190201190212</v>
      </c>
      <c r="B4">
        <v>153.85</v>
      </c>
      <c r="C4">
        <f t="shared" si="0"/>
        <v>1902</v>
      </c>
      <c r="D4">
        <f t="shared" si="1"/>
        <v>153.85</v>
      </c>
      <c r="E4">
        <f t="shared" si="2"/>
        <v>68.747179287817644</v>
      </c>
      <c r="F4">
        <f t="shared" ref="F4:F67" si="3">IF(E4&lt;100, F3+1, 0)</f>
        <v>3</v>
      </c>
      <c r="G4" t="s">
        <v>7</v>
      </c>
      <c r="H4">
        <f>AVERAGEIFS(E:E, C:C, "&gt;=1900", C:C, "&lt;=1902")</f>
        <v>78.251582950163311</v>
      </c>
    </row>
    <row r="5" spans="1:8" x14ac:dyDescent="0.2">
      <c r="A5">
        <v>190301190312</v>
      </c>
      <c r="B5">
        <v>263.36</v>
      </c>
      <c r="C5">
        <f t="shared" si="0"/>
        <v>1903</v>
      </c>
      <c r="D5">
        <f t="shared" si="1"/>
        <v>263.36</v>
      </c>
      <c r="E5">
        <f t="shared" si="2"/>
        <v>117.68122936132373</v>
      </c>
      <c r="F5">
        <f t="shared" si="3"/>
        <v>0</v>
      </c>
      <c r="G5" t="s">
        <v>8</v>
      </c>
      <c r="H5">
        <f>AVERAGEIFS(E:E, C:C, "&gt;=1937", C:C, "&lt;=1945")</f>
        <v>87.621436469245339</v>
      </c>
    </row>
    <row r="6" spans="1:8" x14ac:dyDescent="0.2">
      <c r="A6">
        <v>190401190412</v>
      </c>
      <c r="B6">
        <v>238.21</v>
      </c>
      <c r="C6">
        <f t="shared" si="0"/>
        <v>1904</v>
      </c>
      <c r="D6">
        <f t="shared" si="1"/>
        <v>238.21</v>
      </c>
      <c r="E6">
        <f t="shared" si="2"/>
        <v>106.44306518135222</v>
      </c>
      <c r="F6">
        <f t="shared" si="3"/>
        <v>0</v>
      </c>
      <c r="G6" t="s">
        <v>9</v>
      </c>
      <c r="H6">
        <f>AVERAGEIFS(E:E, C:C, "&gt;=1997", C:C, "&lt;=2009")</f>
        <v>96.400040834803633</v>
      </c>
    </row>
    <row r="7" spans="1:8" x14ac:dyDescent="0.2">
      <c r="A7">
        <v>190501190512</v>
      </c>
      <c r="B7">
        <v>161.07</v>
      </c>
      <c r="C7">
        <f t="shared" si="0"/>
        <v>1905</v>
      </c>
      <c r="D7">
        <f t="shared" si="1"/>
        <v>161.07</v>
      </c>
      <c r="E7">
        <f t="shared" si="2"/>
        <v>71.973403756183217</v>
      </c>
      <c r="F7">
        <f t="shared" si="3"/>
        <v>1</v>
      </c>
      <c r="G7" t="s">
        <v>10</v>
      </c>
      <c r="H7">
        <f>AVERAGEIFS(E:E, C:C, "&gt;=2017", C:C, "&lt;=2019")</f>
        <v>71.675506760027574</v>
      </c>
    </row>
    <row r="8" spans="1:8" x14ac:dyDescent="0.2">
      <c r="A8">
        <v>190601190612</v>
      </c>
      <c r="B8">
        <v>231.33</v>
      </c>
      <c r="C8">
        <f t="shared" si="0"/>
        <v>1906</v>
      </c>
      <c r="D8">
        <f t="shared" si="1"/>
        <v>231.33</v>
      </c>
      <c r="E8">
        <f t="shared" si="2"/>
        <v>103.36876818102606</v>
      </c>
      <c r="F8">
        <f t="shared" si="3"/>
        <v>0</v>
      </c>
      <c r="G8" t="s">
        <v>11</v>
      </c>
      <c r="H8">
        <f>COUNTIF(E:E, "&lt;80")</f>
        <v>40</v>
      </c>
    </row>
    <row r="9" spans="1:8" x14ac:dyDescent="0.2">
      <c r="A9">
        <v>190701190712</v>
      </c>
      <c r="B9">
        <v>223.07</v>
      </c>
      <c r="C9">
        <f t="shared" si="0"/>
        <v>1907</v>
      </c>
      <c r="D9">
        <f t="shared" si="1"/>
        <v>223.07</v>
      </c>
      <c r="E9">
        <f t="shared" si="2"/>
        <v>99.677824398657663</v>
      </c>
      <c r="F9">
        <f t="shared" si="3"/>
        <v>1</v>
      </c>
      <c r="G9" t="s">
        <v>12</v>
      </c>
      <c r="H9">
        <f>MAX(F:F)</f>
        <v>17</v>
      </c>
    </row>
    <row r="10" spans="1:8" x14ac:dyDescent="0.2">
      <c r="A10">
        <v>190801190812</v>
      </c>
      <c r="B10">
        <v>272.89</v>
      </c>
      <c r="C10">
        <f t="shared" si="0"/>
        <v>1908</v>
      </c>
      <c r="D10">
        <f t="shared" si="1"/>
        <v>272.89</v>
      </c>
      <c r="E10">
        <f t="shared" si="2"/>
        <v>121.93966692136857</v>
      </c>
      <c r="F10">
        <f t="shared" si="3"/>
        <v>0</v>
      </c>
      <c r="G10" t="s">
        <v>13</v>
      </c>
      <c r="H10">
        <f>INDEX(C:C, MATCH(H9, F:F, 0))</f>
        <v>1938</v>
      </c>
    </row>
    <row r="11" spans="1:8" x14ac:dyDescent="0.2">
      <c r="A11">
        <v>190901190912</v>
      </c>
      <c r="B11">
        <v>204.24</v>
      </c>
      <c r="C11">
        <f t="shared" si="0"/>
        <v>1909</v>
      </c>
      <c r="D11">
        <f t="shared" si="1"/>
        <v>204.24</v>
      </c>
      <c r="E11">
        <f t="shared" si="2"/>
        <v>91.263723742241638</v>
      </c>
      <c r="F11">
        <f t="shared" si="3"/>
        <v>1</v>
      </c>
      <c r="G11" t="s">
        <v>14</v>
      </c>
      <c r="H11" t="str">
        <f>(H10-H9+1) &amp; "-" &amp; H10</f>
        <v>1922-1938</v>
      </c>
    </row>
    <row r="12" spans="1:8" x14ac:dyDescent="0.2">
      <c r="A12">
        <v>191001191012</v>
      </c>
      <c r="B12">
        <v>284.73</v>
      </c>
      <c r="C12">
        <f t="shared" si="0"/>
        <v>1910</v>
      </c>
      <c r="D12">
        <f t="shared" si="1"/>
        <v>284.73</v>
      </c>
      <c r="E12">
        <f t="shared" si="2"/>
        <v>127.23031757309275</v>
      </c>
      <c r="F12">
        <f t="shared" si="3"/>
        <v>0</v>
      </c>
    </row>
    <row r="13" spans="1:8" x14ac:dyDescent="0.2">
      <c r="A13">
        <v>191101191112</v>
      </c>
      <c r="B13">
        <v>209.33</v>
      </c>
      <c r="C13">
        <f t="shared" si="0"/>
        <v>1911</v>
      </c>
      <c r="D13">
        <f t="shared" si="1"/>
        <v>209.33</v>
      </c>
      <c r="E13">
        <f t="shared" si="2"/>
        <v>93.538167307889935</v>
      </c>
      <c r="F13">
        <f t="shared" si="3"/>
        <v>1</v>
      </c>
    </row>
    <row r="14" spans="1:8" x14ac:dyDescent="0.2">
      <c r="A14">
        <v>191201191212</v>
      </c>
      <c r="B14">
        <v>203.46</v>
      </c>
      <c r="C14">
        <f t="shared" si="0"/>
        <v>1912</v>
      </c>
      <c r="D14">
        <f t="shared" si="1"/>
        <v>203.46</v>
      </c>
      <c r="E14">
        <f t="shared" si="2"/>
        <v>90.915184256739551</v>
      </c>
      <c r="F14">
        <f t="shared" si="3"/>
        <v>2</v>
      </c>
    </row>
    <row r="15" spans="1:8" x14ac:dyDescent="0.2">
      <c r="A15">
        <v>191301191312</v>
      </c>
      <c r="B15">
        <v>190.77</v>
      </c>
      <c r="C15">
        <f t="shared" si="0"/>
        <v>1913</v>
      </c>
      <c r="D15">
        <f t="shared" si="1"/>
        <v>190.77</v>
      </c>
      <c r="E15">
        <f t="shared" si="2"/>
        <v>85.244714934916956</v>
      </c>
      <c r="F15">
        <f t="shared" si="3"/>
        <v>3</v>
      </c>
    </row>
    <row r="16" spans="1:8" x14ac:dyDescent="0.2">
      <c r="A16">
        <v>191401191412</v>
      </c>
      <c r="B16">
        <v>169.16</v>
      </c>
      <c r="C16">
        <f t="shared" si="0"/>
        <v>1914</v>
      </c>
      <c r="D16">
        <f t="shared" si="1"/>
        <v>169.16</v>
      </c>
      <c r="E16">
        <f t="shared" si="2"/>
        <v>75.588383804531901</v>
      </c>
      <c r="F16">
        <f t="shared" si="3"/>
        <v>4</v>
      </c>
    </row>
    <row r="17" spans="1:6" x14ac:dyDescent="0.2">
      <c r="A17">
        <v>191501191512</v>
      </c>
      <c r="B17">
        <v>156.04</v>
      </c>
      <c r="C17">
        <f t="shared" si="0"/>
        <v>1915</v>
      </c>
      <c r="D17">
        <f t="shared" si="1"/>
        <v>156.04</v>
      </c>
      <c r="E17">
        <f t="shared" si="2"/>
        <v>69.725770920188907</v>
      </c>
      <c r="F17">
        <f t="shared" si="3"/>
        <v>5</v>
      </c>
    </row>
    <row r="18" spans="1:6" x14ac:dyDescent="0.2">
      <c r="A18">
        <v>191601191612</v>
      </c>
      <c r="B18">
        <v>278.86</v>
      </c>
      <c r="C18">
        <f t="shared" si="0"/>
        <v>1916</v>
      </c>
      <c r="D18">
        <f t="shared" si="1"/>
        <v>278.86</v>
      </c>
      <c r="E18">
        <f t="shared" si="2"/>
        <v>124.60733452194235</v>
      </c>
      <c r="F18">
        <f t="shared" si="3"/>
        <v>0</v>
      </c>
    </row>
    <row r="19" spans="1:6" x14ac:dyDescent="0.2">
      <c r="A19">
        <v>191701191712</v>
      </c>
      <c r="B19">
        <v>300.93</v>
      </c>
      <c r="C19">
        <f t="shared" si="0"/>
        <v>1917</v>
      </c>
      <c r="D19">
        <f t="shared" si="1"/>
        <v>300.93</v>
      </c>
      <c r="E19">
        <f t="shared" si="2"/>
        <v>134.46921457967477</v>
      </c>
      <c r="F19">
        <f t="shared" si="3"/>
        <v>0</v>
      </c>
    </row>
    <row r="20" spans="1:6" x14ac:dyDescent="0.2">
      <c r="A20">
        <v>191801191812</v>
      </c>
      <c r="B20">
        <v>158.61000000000001</v>
      </c>
      <c r="C20">
        <f t="shared" si="0"/>
        <v>1918</v>
      </c>
      <c r="D20">
        <f t="shared" si="1"/>
        <v>158.61000000000001</v>
      </c>
      <c r="E20">
        <f t="shared" si="2"/>
        <v>70.874163840368908</v>
      </c>
      <c r="F20">
        <f t="shared" si="3"/>
        <v>1</v>
      </c>
    </row>
    <row r="21" spans="1:6" x14ac:dyDescent="0.2">
      <c r="A21">
        <v>191901191912</v>
      </c>
      <c r="B21">
        <v>171.91</v>
      </c>
      <c r="C21">
        <f t="shared" si="0"/>
        <v>1919</v>
      </c>
      <c r="D21">
        <f t="shared" si="1"/>
        <v>171.91</v>
      </c>
      <c r="E21">
        <f t="shared" si="2"/>
        <v>76.817208913673909</v>
      </c>
      <c r="F21">
        <f t="shared" si="3"/>
        <v>2</v>
      </c>
    </row>
    <row r="22" spans="1:6" x14ac:dyDescent="0.2">
      <c r="A22">
        <v>192001192012</v>
      </c>
      <c r="B22">
        <v>323.79000000000002</v>
      </c>
      <c r="C22">
        <f t="shared" si="0"/>
        <v>1920</v>
      </c>
      <c r="D22">
        <f t="shared" si="1"/>
        <v>323.79000000000002</v>
      </c>
      <c r="E22">
        <f t="shared" si="2"/>
        <v>144.68410257785166</v>
      </c>
      <c r="F22">
        <f t="shared" si="3"/>
        <v>0</v>
      </c>
    </row>
    <row r="23" spans="1:6" x14ac:dyDescent="0.2">
      <c r="A23">
        <v>192101192112</v>
      </c>
      <c r="B23">
        <v>298.05</v>
      </c>
      <c r="C23">
        <f t="shared" si="0"/>
        <v>1921</v>
      </c>
      <c r="D23">
        <f t="shared" si="1"/>
        <v>298.05</v>
      </c>
      <c r="E23">
        <f t="shared" si="2"/>
        <v>133.18229955628243</v>
      </c>
      <c r="F23">
        <f t="shared" si="3"/>
        <v>0</v>
      </c>
    </row>
    <row r="24" spans="1:6" x14ac:dyDescent="0.2">
      <c r="A24">
        <v>192201192212</v>
      </c>
      <c r="B24">
        <v>192.04</v>
      </c>
      <c r="C24">
        <f t="shared" si="0"/>
        <v>1922</v>
      </c>
      <c r="D24">
        <f t="shared" si="1"/>
        <v>192.04</v>
      </c>
      <c r="E24">
        <f t="shared" si="2"/>
        <v>85.812208712593431</v>
      </c>
      <c r="F24">
        <f t="shared" si="3"/>
        <v>1</v>
      </c>
    </row>
    <row r="25" spans="1:6" x14ac:dyDescent="0.2">
      <c r="A25">
        <v>192301192312</v>
      </c>
      <c r="B25">
        <v>198.7</v>
      </c>
      <c r="C25">
        <f t="shared" si="0"/>
        <v>1923</v>
      </c>
      <c r="D25">
        <f t="shared" si="1"/>
        <v>198.7</v>
      </c>
      <c r="E25">
        <f t="shared" si="2"/>
        <v>88.788199704188258</v>
      </c>
      <c r="F25">
        <f t="shared" si="3"/>
        <v>2</v>
      </c>
    </row>
    <row r="26" spans="1:6" x14ac:dyDescent="0.2">
      <c r="A26">
        <v>192401192412</v>
      </c>
      <c r="B26">
        <v>174.82</v>
      </c>
      <c r="C26">
        <f t="shared" si="0"/>
        <v>1924</v>
      </c>
      <c r="D26">
        <f t="shared" si="1"/>
        <v>174.82</v>
      </c>
      <c r="E26">
        <f t="shared" si="2"/>
        <v>78.117529301893271</v>
      </c>
      <c r="F26">
        <f t="shared" si="3"/>
        <v>3</v>
      </c>
    </row>
    <row r="27" spans="1:6" x14ac:dyDescent="0.2">
      <c r="A27">
        <v>192501192512</v>
      </c>
      <c r="B27">
        <v>149.99</v>
      </c>
      <c r="C27">
        <f t="shared" si="0"/>
        <v>1925</v>
      </c>
      <c r="D27">
        <f t="shared" si="1"/>
        <v>149.99</v>
      </c>
      <c r="E27">
        <f t="shared" si="2"/>
        <v>67.022355680076501</v>
      </c>
      <c r="F27">
        <f t="shared" si="3"/>
        <v>4</v>
      </c>
    </row>
    <row r="28" spans="1:6" x14ac:dyDescent="0.2">
      <c r="A28">
        <v>192601192612</v>
      </c>
      <c r="B28">
        <v>183.13</v>
      </c>
      <c r="C28">
        <f t="shared" si="0"/>
        <v>1926</v>
      </c>
      <c r="D28">
        <f t="shared" si="1"/>
        <v>183.13</v>
      </c>
      <c r="E28">
        <f t="shared" si="2"/>
        <v>81.830815358973325</v>
      </c>
      <c r="F28">
        <f t="shared" si="3"/>
        <v>5</v>
      </c>
    </row>
    <row r="29" spans="1:6" x14ac:dyDescent="0.2">
      <c r="A29">
        <v>192701192712</v>
      </c>
      <c r="B29">
        <v>147.27000000000001</v>
      </c>
      <c r="C29">
        <f t="shared" si="0"/>
        <v>1927</v>
      </c>
      <c r="D29">
        <f t="shared" si="1"/>
        <v>147.27000000000001</v>
      </c>
      <c r="E29">
        <f t="shared" si="2"/>
        <v>65.806935935761487</v>
      </c>
      <c r="F29">
        <f t="shared" si="3"/>
        <v>6</v>
      </c>
    </row>
    <row r="30" spans="1:6" x14ac:dyDescent="0.2">
      <c r="A30">
        <v>192801192812</v>
      </c>
      <c r="B30">
        <v>122.46</v>
      </c>
      <c r="C30">
        <f t="shared" si="0"/>
        <v>1928</v>
      </c>
      <c r="D30">
        <f t="shared" si="1"/>
        <v>122.46</v>
      </c>
      <c r="E30">
        <f t="shared" si="2"/>
        <v>54.720699223829371</v>
      </c>
      <c r="F30">
        <f t="shared" si="3"/>
        <v>7</v>
      </c>
    </row>
    <row r="31" spans="1:6" x14ac:dyDescent="0.2">
      <c r="A31">
        <v>192901192912</v>
      </c>
      <c r="B31">
        <v>120.77</v>
      </c>
      <c r="C31">
        <f t="shared" si="0"/>
        <v>1929</v>
      </c>
      <c r="D31">
        <f t="shared" si="1"/>
        <v>120.77</v>
      </c>
      <c r="E31">
        <f t="shared" si="2"/>
        <v>53.965530338574816</v>
      </c>
      <c r="F31">
        <f t="shared" si="3"/>
        <v>8</v>
      </c>
    </row>
    <row r="32" spans="1:6" x14ac:dyDescent="0.2">
      <c r="A32">
        <v>193001193012</v>
      </c>
      <c r="B32">
        <v>213.37</v>
      </c>
      <c r="C32">
        <f t="shared" si="0"/>
        <v>1930</v>
      </c>
      <c r="D32">
        <f t="shared" si="1"/>
        <v>213.37</v>
      </c>
      <c r="E32">
        <f t="shared" si="2"/>
        <v>95.343423104593114</v>
      </c>
      <c r="F32">
        <f t="shared" si="3"/>
        <v>9</v>
      </c>
    </row>
    <row r="33" spans="1:6" x14ac:dyDescent="0.2">
      <c r="A33">
        <v>193101193112</v>
      </c>
      <c r="B33">
        <v>202.24</v>
      </c>
      <c r="C33">
        <f t="shared" si="0"/>
        <v>1931</v>
      </c>
      <c r="D33">
        <f t="shared" si="1"/>
        <v>202.24</v>
      </c>
      <c r="E33">
        <f t="shared" si="2"/>
        <v>90.370032753774723</v>
      </c>
      <c r="F33">
        <f t="shared" si="3"/>
        <v>10</v>
      </c>
    </row>
    <row r="34" spans="1:6" x14ac:dyDescent="0.2">
      <c r="A34">
        <v>193201193212</v>
      </c>
      <c r="B34">
        <v>216.14</v>
      </c>
      <c r="C34">
        <f t="shared" si="0"/>
        <v>1932</v>
      </c>
      <c r="D34">
        <f t="shared" si="1"/>
        <v>216.14</v>
      </c>
      <c r="E34">
        <f t="shared" si="2"/>
        <v>96.58118512361979</v>
      </c>
      <c r="F34">
        <f t="shared" si="3"/>
        <v>11</v>
      </c>
    </row>
    <row r="35" spans="1:6" x14ac:dyDescent="0.2">
      <c r="A35">
        <v>193301193312</v>
      </c>
      <c r="B35">
        <v>176.25</v>
      </c>
      <c r="C35">
        <f t="shared" si="0"/>
        <v>1933</v>
      </c>
      <c r="D35">
        <f t="shared" si="1"/>
        <v>176.25</v>
      </c>
      <c r="E35">
        <f t="shared" si="2"/>
        <v>78.756518358647128</v>
      </c>
      <c r="F35">
        <f t="shared" si="3"/>
        <v>12</v>
      </c>
    </row>
    <row r="36" spans="1:6" x14ac:dyDescent="0.2">
      <c r="A36">
        <v>193401193412</v>
      </c>
      <c r="B36">
        <v>160.52000000000001</v>
      </c>
      <c r="C36">
        <f t="shared" si="0"/>
        <v>1934</v>
      </c>
      <c r="D36">
        <f t="shared" si="1"/>
        <v>160.52000000000001</v>
      </c>
      <c r="E36">
        <f t="shared" si="2"/>
        <v>71.727638734354812</v>
      </c>
      <c r="F36">
        <f t="shared" si="3"/>
        <v>13</v>
      </c>
    </row>
    <row r="37" spans="1:6" x14ac:dyDescent="0.2">
      <c r="A37">
        <v>193501193512</v>
      </c>
      <c r="B37">
        <v>191.31</v>
      </c>
      <c r="C37">
        <f t="shared" si="0"/>
        <v>1935</v>
      </c>
      <c r="D37">
        <f t="shared" si="1"/>
        <v>191.31</v>
      </c>
      <c r="E37">
        <f t="shared" si="2"/>
        <v>85.48601150180302</v>
      </c>
      <c r="F37">
        <f t="shared" si="3"/>
        <v>14</v>
      </c>
    </row>
    <row r="38" spans="1:6" x14ac:dyDescent="0.2">
      <c r="A38">
        <v>193601193612</v>
      </c>
      <c r="B38">
        <v>168.75</v>
      </c>
      <c r="C38">
        <f t="shared" si="0"/>
        <v>1936</v>
      </c>
      <c r="D38">
        <f t="shared" si="1"/>
        <v>168.75</v>
      </c>
      <c r="E38">
        <f t="shared" si="2"/>
        <v>75.405177151896183</v>
      </c>
      <c r="F38">
        <f t="shared" si="3"/>
        <v>15</v>
      </c>
    </row>
    <row r="39" spans="1:6" x14ac:dyDescent="0.2">
      <c r="A39">
        <v>193701193712</v>
      </c>
      <c r="B39">
        <v>188.09</v>
      </c>
      <c r="C39">
        <f t="shared" si="0"/>
        <v>1937</v>
      </c>
      <c r="D39">
        <f t="shared" si="1"/>
        <v>188.09</v>
      </c>
      <c r="E39">
        <f t="shared" si="2"/>
        <v>84.047169010371277</v>
      </c>
      <c r="F39">
        <f t="shared" si="3"/>
        <v>16</v>
      </c>
    </row>
    <row r="40" spans="1:6" x14ac:dyDescent="0.2">
      <c r="A40">
        <v>193801193812</v>
      </c>
      <c r="B40">
        <v>192.03</v>
      </c>
      <c r="C40">
        <f t="shared" si="0"/>
        <v>1938</v>
      </c>
      <c r="D40">
        <f t="shared" si="1"/>
        <v>192.03</v>
      </c>
      <c r="E40">
        <f t="shared" si="2"/>
        <v>85.807740257651105</v>
      </c>
      <c r="F40">
        <f t="shared" si="3"/>
        <v>17</v>
      </c>
    </row>
    <row r="41" spans="1:6" x14ac:dyDescent="0.2">
      <c r="A41">
        <v>193901193912</v>
      </c>
      <c r="B41">
        <v>266.43</v>
      </c>
      <c r="C41">
        <f t="shared" si="0"/>
        <v>1939</v>
      </c>
      <c r="D41">
        <f t="shared" si="1"/>
        <v>266.43</v>
      </c>
      <c r="E41">
        <f t="shared" si="2"/>
        <v>119.05304502862045</v>
      </c>
      <c r="F41">
        <f t="shared" si="3"/>
        <v>0</v>
      </c>
    </row>
    <row r="42" spans="1:6" x14ac:dyDescent="0.2">
      <c r="A42">
        <v>194001194012</v>
      </c>
      <c r="B42">
        <v>123.73</v>
      </c>
      <c r="C42">
        <f t="shared" si="0"/>
        <v>1940</v>
      </c>
      <c r="D42">
        <f t="shared" si="1"/>
        <v>123.73</v>
      </c>
      <c r="E42">
        <f t="shared" si="2"/>
        <v>55.288193001505867</v>
      </c>
      <c r="F42">
        <f t="shared" si="3"/>
        <v>1</v>
      </c>
    </row>
    <row r="43" spans="1:6" x14ac:dyDescent="0.2">
      <c r="A43">
        <v>194101194112</v>
      </c>
      <c r="B43">
        <v>221.09</v>
      </c>
      <c r="C43">
        <f t="shared" si="0"/>
        <v>1941</v>
      </c>
      <c r="D43">
        <f t="shared" si="1"/>
        <v>221.09</v>
      </c>
      <c r="E43">
        <f t="shared" si="2"/>
        <v>98.793070320075415</v>
      </c>
      <c r="F43">
        <f t="shared" si="3"/>
        <v>2</v>
      </c>
    </row>
    <row r="44" spans="1:6" x14ac:dyDescent="0.2">
      <c r="A44">
        <v>194201194212</v>
      </c>
      <c r="B44">
        <v>274.08999999999997</v>
      </c>
      <c r="C44">
        <f t="shared" si="0"/>
        <v>1942</v>
      </c>
      <c r="D44">
        <f t="shared" si="1"/>
        <v>274.08999999999997</v>
      </c>
      <c r="E44">
        <f t="shared" si="2"/>
        <v>122.47588151444873</v>
      </c>
      <c r="F44">
        <f t="shared" si="3"/>
        <v>0</v>
      </c>
    </row>
    <row r="45" spans="1:6" x14ac:dyDescent="0.2">
      <c r="A45">
        <v>194301194312</v>
      </c>
      <c r="B45">
        <v>156.22999999999999</v>
      </c>
      <c r="C45">
        <f t="shared" si="0"/>
        <v>1943</v>
      </c>
      <c r="D45">
        <f t="shared" si="1"/>
        <v>156.22999999999999</v>
      </c>
      <c r="E45">
        <f t="shared" si="2"/>
        <v>69.810671564093269</v>
      </c>
      <c r="F45">
        <f t="shared" si="3"/>
        <v>1</v>
      </c>
    </row>
    <row r="46" spans="1:6" x14ac:dyDescent="0.2">
      <c r="A46">
        <v>194401194412</v>
      </c>
      <c r="B46">
        <v>123.65</v>
      </c>
      <c r="C46">
        <f t="shared" si="0"/>
        <v>1944</v>
      </c>
      <c r="D46">
        <f t="shared" si="1"/>
        <v>123.65</v>
      </c>
      <c r="E46">
        <f t="shared" si="2"/>
        <v>55.252445361967183</v>
      </c>
      <c r="F46">
        <f t="shared" si="3"/>
        <v>2</v>
      </c>
    </row>
    <row r="47" spans="1:6" x14ac:dyDescent="0.2">
      <c r="A47">
        <v>194501194512</v>
      </c>
      <c r="B47">
        <v>219.46</v>
      </c>
      <c r="C47">
        <f t="shared" si="0"/>
        <v>1945</v>
      </c>
      <c r="D47">
        <f t="shared" si="1"/>
        <v>219.46</v>
      </c>
      <c r="E47">
        <f t="shared" si="2"/>
        <v>98.064712164474884</v>
      </c>
      <c r="F47">
        <f t="shared" si="3"/>
        <v>3</v>
      </c>
    </row>
    <row r="48" spans="1:6" x14ac:dyDescent="0.2">
      <c r="A48">
        <v>194601194612</v>
      </c>
      <c r="B48">
        <v>252.99</v>
      </c>
      <c r="C48">
        <f t="shared" si="0"/>
        <v>1946</v>
      </c>
      <c r="D48">
        <f t="shared" si="1"/>
        <v>252.99</v>
      </c>
      <c r="E48">
        <f t="shared" si="2"/>
        <v>113.04744158612277</v>
      </c>
      <c r="F48">
        <f t="shared" si="3"/>
        <v>0</v>
      </c>
    </row>
    <row r="49" spans="1:6" x14ac:dyDescent="0.2">
      <c r="A49">
        <v>194701194712</v>
      </c>
      <c r="B49">
        <v>253.91</v>
      </c>
      <c r="C49">
        <f t="shared" si="0"/>
        <v>1947</v>
      </c>
      <c r="D49">
        <f t="shared" si="1"/>
        <v>253.91</v>
      </c>
      <c r="E49">
        <f t="shared" si="2"/>
        <v>113.45853944081755</v>
      </c>
      <c r="F49">
        <f t="shared" si="3"/>
        <v>0</v>
      </c>
    </row>
    <row r="50" spans="1:6" x14ac:dyDescent="0.2">
      <c r="A50">
        <v>194801194812</v>
      </c>
      <c r="B50">
        <v>157.75</v>
      </c>
      <c r="C50">
        <f t="shared" si="0"/>
        <v>1948</v>
      </c>
      <c r="D50">
        <f t="shared" si="1"/>
        <v>157.75</v>
      </c>
      <c r="E50">
        <f t="shared" si="2"/>
        <v>70.489876715328137</v>
      </c>
      <c r="F50">
        <f t="shared" si="3"/>
        <v>1</v>
      </c>
    </row>
    <row r="51" spans="1:6" x14ac:dyDescent="0.2">
      <c r="A51">
        <v>194901194912</v>
      </c>
      <c r="B51">
        <v>214.39</v>
      </c>
      <c r="C51">
        <f t="shared" si="0"/>
        <v>1949</v>
      </c>
      <c r="D51">
        <f t="shared" si="1"/>
        <v>214.39</v>
      </c>
      <c r="E51">
        <f t="shared" si="2"/>
        <v>95.799205508711239</v>
      </c>
      <c r="F51">
        <f t="shared" si="3"/>
        <v>2</v>
      </c>
    </row>
    <row r="52" spans="1:6" x14ac:dyDescent="0.2">
      <c r="A52">
        <v>195001195012</v>
      </c>
      <c r="B52">
        <v>299.55</v>
      </c>
      <c r="C52">
        <f t="shared" si="0"/>
        <v>1950</v>
      </c>
      <c r="D52">
        <f t="shared" si="1"/>
        <v>299.55</v>
      </c>
      <c r="E52">
        <f t="shared" si="2"/>
        <v>133.85256779763259</v>
      </c>
      <c r="F52">
        <f t="shared" si="3"/>
        <v>0</v>
      </c>
    </row>
    <row r="53" spans="1:6" x14ac:dyDescent="0.2">
      <c r="A53">
        <v>195101195112</v>
      </c>
      <c r="B53">
        <v>168.74</v>
      </c>
      <c r="C53">
        <f t="shared" si="0"/>
        <v>1951</v>
      </c>
      <c r="D53">
        <f t="shared" si="1"/>
        <v>168.74</v>
      </c>
      <c r="E53">
        <f t="shared" si="2"/>
        <v>75.400708696953856</v>
      </c>
      <c r="F53">
        <f t="shared" si="3"/>
        <v>1</v>
      </c>
    </row>
    <row r="54" spans="1:6" x14ac:dyDescent="0.2">
      <c r="A54">
        <v>195201195212</v>
      </c>
      <c r="B54">
        <v>232.02</v>
      </c>
      <c r="C54">
        <f t="shared" si="0"/>
        <v>1952</v>
      </c>
      <c r="D54">
        <f t="shared" si="1"/>
        <v>232.02</v>
      </c>
      <c r="E54">
        <f t="shared" si="2"/>
        <v>103.67709157204712</v>
      </c>
      <c r="F54">
        <f t="shared" si="3"/>
        <v>0</v>
      </c>
    </row>
    <row r="55" spans="1:6" x14ac:dyDescent="0.2">
      <c r="A55">
        <v>195301195312</v>
      </c>
      <c r="B55">
        <v>222.49</v>
      </c>
      <c r="C55">
        <f t="shared" si="0"/>
        <v>1953</v>
      </c>
      <c r="D55">
        <f t="shared" si="1"/>
        <v>222.49</v>
      </c>
      <c r="E55">
        <f t="shared" si="2"/>
        <v>99.418654012002264</v>
      </c>
      <c r="F55">
        <f t="shared" si="3"/>
        <v>1</v>
      </c>
    </row>
    <row r="56" spans="1:6" x14ac:dyDescent="0.2">
      <c r="A56">
        <v>195401195412</v>
      </c>
      <c r="B56">
        <v>188.85</v>
      </c>
      <c r="C56">
        <f t="shared" si="0"/>
        <v>1954</v>
      </c>
      <c r="D56">
        <f t="shared" si="1"/>
        <v>188.85</v>
      </c>
      <c r="E56">
        <f t="shared" si="2"/>
        <v>84.386771585988697</v>
      </c>
      <c r="F56">
        <f t="shared" si="3"/>
        <v>2</v>
      </c>
    </row>
    <row r="57" spans="1:6" x14ac:dyDescent="0.2">
      <c r="A57">
        <v>195501195512</v>
      </c>
      <c r="B57">
        <v>333.87</v>
      </c>
      <c r="C57">
        <f t="shared" si="0"/>
        <v>1955</v>
      </c>
      <c r="D57">
        <f t="shared" si="1"/>
        <v>333.87</v>
      </c>
      <c r="E57">
        <f t="shared" si="2"/>
        <v>149.18830515972491</v>
      </c>
      <c r="F57">
        <f t="shared" si="3"/>
        <v>0</v>
      </c>
    </row>
    <row r="58" spans="1:6" x14ac:dyDescent="0.2">
      <c r="A58">
        <v>195601195612</v>
      </c>
      <c r="B58">
        <v>243.9</v>
      </c>
      <c r="C58">
        <f t="shared" si="0"/>
        <v>1956</v>
      </c>
      <c r="D58">
        <f t="shared" si="1"/>
        <v>243.9</v>
      </c>
      <c r="E58">
        <f t="shared" si="2"/>
        <v>108.98561604354062</v>
      </c>
      <c r="F58">
        <f t="shared" si="3"/>
        <v>0</v>
      </c>
    </row>
    <row r="59" spans="1:6" x14ac:dyDescent="0.2">
      <c r="A59">
        <v>195701195712</v>
      </c>
      <c r="B59">
        <v>141.43</v>
      </c>
      <c r="C59">
        <f t="shared" si="0"/>
        <v>1957</v>
      </c>
      <c r="D59">
        <f t="shared" si="1"/>
        <v>141.43</v>
      </c>
      <c r="E59">
        <f t="shared" si="2"/>
        <v>63.197358249438082</v>
      </c>
      <c r="F59">
        <f t="shared" si="3"/>
        <v>1</v>
      </c>
    </row>
    <row r="60" spans="1:6" x14ac:dyDescent="0.2">
      <c r="A60">
        <v>195801195812</v>
      </c>
      <c r="B60">
        <v>241.31</v>
      </c>
      <c r="C60">
        <f t="shared" si="0"/>
        <v>1958</v>
      </c>
      <c r="D60">
        <f t="shared" si="1"/>
        <v>241.31</v>
      </c>
      <c r="E60">
        <f t="shared" si="2"/>
        <v>107.82828621347595</v>
      </c>
      <c r="F60">
        <f t="shared" si="3"/>
        <v>0</v>
      </c>
    </row>
    <row r="61" spans="1:6" x14ac:dyDescent="0.2">
      <c r="A61">
        <v>195901195912</v>
      </c>
      <c r="B61">
        <v>132.74</v>
      </c>
      <c r="C61">
        <f t="shared" si="0"/>
        <v>1959</v>
      </c>
      <c r="D61">
        <f t="shared" si="1"/>
        <v>132.74</v>
      </c>
      <c r="E61">
        <f t="shared" si="2"/>
        <v>59.314270904549325</v>
      </c>
      <c r="F61">
        <f t="shared" si="3"/>
        <v>1</v>
      </c>
    </row>
    <row r="62" spans="1:6" x14ac:dyDescent="0.2">
      <c r="A62">
        <v>196001196012</v>
      </c>
      <c r="B62">
        <v>204.96</v>
      </c>
      <c r="C62">
        <f t="shared" si="0"/>
        <v>1960</v>
      </c>
      <c r="D62">
        <f t="shared" si="1"/>
        <v>204.96</v>
      </c>
      <c r="E62">
        <f t="shared" si="2"/>
        <v>91.585452498089722</v>
      </c>
      <c r="F62">
        <f t="shared" si="3"/>
        <v>2</v>
      </c>
    </row>
    <row r="63" spans="1:6" x14ac:dyDescent="0.2">
      <c r="A63">
        <v>196101196112</v>
      </c>
      <c r="B63">
        <v>124.12</v>
      </c>
      <c r="C63">
        <f t="shared" si="0"/>
        <v>1961</v>
      </c>
      <c r="D63">
        <f t="shared" si="1"/>
        <v>124.12</v>
      </c>
      <c r="E63">
        <f t="shared" si="2"/>
        <v>55.462462744256911</v>
      </c>
      <c r="F63">
        <f t="shared" si="3"/>
        <v>3</v>
      </c>
    </row>
    <row r="64" spans="1:6" x14ac:dyDescent="0.2">
      <c r="A64">
        <v>196201196212</v>
      </c>
      <c r="B64">
        <v>178.07</v>
      </c>
      <c r="C64">
        <f t="shared" si="0"/>
        <v>1962</v>
      </c>
      <c r="D64">
        <f t="shared" si="1"/>
        <v>178.07</v>
      </c>
      <c r="E64">
        <f t="shared" si="2"/>
        <v>79.569777158152007</v>
      </c>
      <c r="F64">
        <f t="shared" si="3"/>
        <v>4</v>
      </c>
    </row>
    <row r="65" spans="1:6" x14ac:dyDescent="0.2">
      <c r="A65">
        <v>196301196312</v>
      </c>
      <c r="B65">
        <v>176.95</v>
      </c>
      <c r="C65">
        <f t="shared" si="0"/>
        <v>1963</v>
      </c>
      <c r="D65">
        <f t="shared" si="1"/>
        <v>176.95</v>
      </c>
      <c r="E65">
        <f t="shared" si="2"/>
        <v>79.069310204610531</v>
      </c>
      <c r="F65">
        <f t="shared" si="3"/>
        <v>5</v>
      </c>
    </row>
    <row r="66" spans="1:6" x14ac:dyDescent="0.2">
      <c r="A66">
        <v>196401196412</v>
      </c>
      <c r="B66">
        <v>186.79</v>
      </c>
      <c r="C66">
        <f t="shared" si="0"/>
        <v>1964</v>
      </c>
      <c r="D66">
        <f t="shared" si="1"/>
        <v>186.79</v>
      </c>
      <c r="E66">
        <f t="shared" si="2"/>
        <v>83.466269867867766</v>
      </c>
      <c r="F66">
        <f t="shared" si="3"/>
        <v>6</v>
      </c>
    </row>
    <row r="67" spans="1:6" x14ac:dyDescent="0.2">
      <c r="A67">
        <v>196501196512</v>
      </c>
      <c r="B67">
        <v>128.32</v>
      </c>
      <c r="C67">
        <f t="shared" ref="C67:C127" si="4">INT(A67/100000000)</f>
        <v>1965</v>
      </c>
      <c r="D67">
        <f t="shared" ref="D67:D127" si="5">B67</f>
        <v>128.32</v>
      </c>
      <c r="E67">
        <f t="shared" ref="E67:E127" si="6">D67 / $G$2 * 100</f>
        <v>57.339213820037436</v>
      </c>
      <c r="F67">
        <f t="shared" si="3"/>
        <v>7</v>
      </c>
    </row>
    <row r="68" spans="1:6" x14ac:dyDescent="0.2">
      <c r="A68">
        <v>196601196612</v>
      </c>
      <c r="B68">
        <v>250.89</v>
      </c>
      <c r="C68">
        <f t="shared" si="4"/>
        <v>1966</v>
      </c>
      <c r="D68">
        <f t="shared" si="5"/>
        <v>250.89</v>
      </c>
      <c r="E68">
        <f t="shared" si="6"/>
        <v>112.10906604823248</v>
      </c>
      <c r="F68">
        <f t="shared" ref="F68:F127" si="7">IF(E68&lt;100, F67+1, 0)</f>
        <v>0</v>
      </c>
    </row>
    <row r="69" spans="1:6" x14ac:dyDescent="0.2">
      <c r="A69">
        <v>196701196712</v>
      </c>
      <c r="B69">
        <v>142.32</v>
      </c>
      <c r="C69">
        <f t="shared" si="4"/>
        <v>1967</v>
      </c>
      <c r="D69">
        <f t="shared" si="5"/>
        <v>142.32</v>
      </c>
      <c r="E69">
        <f t="shared" si="6"/>
        <v>63.595050739305861</v>
      </c>
      <c r="F69">
        <f t="shared" si="7"/>
        <v>1</v>
      </c>
    </row>
    <row r="70" spans="1:6" x14ac:dyDescent="0.2">
      <c r="A70">
        <v>196801196812</v>
      </c>
      <c r="B70">
        <v>315.2</v>
      </c>
      <c r="C70">
        <f t="shared" si="4"/>
        <v>1968</v>
      </c>
      <c r="D70">
        <f t="shared" si="5"/>
        <v>315.2</v>
      </c>
      <c r="E70">
        <f t="shared" si="6"/>
        <v>140.84569978238622</v>
      </c>
      <c r="F70">
        <f t="shared" si="7"/>
        <v>0</v>
      </c>
    </row>
    <row r="71" spans="1:6" x14ac:dyDescent="0.2">
      <c r="A71">
        <v>196901196912</v>
      </c>
      <c r="B71">
        <v>219.33</v>
      </c>
      <c r="C71">
        <f t="shared" si="4"/>
        <v>1969</v>
      </c>
      <c r="D71">
        <f t="shared" si="5"/>
        <v>219.33</v>
      </c>
      <c r="E71">
        <f t="shared" si="6"/>
        <v>98.006622250224538</v>
      </c>
      <c r="F71">
        <f t="shared" si="7"/>
        <v>1</v>
      </c>
    </row>
    <row r="72" spans="1:6" x14ac:dyDescent="0.2">
      <c r="A72">
        <v>197001197012</v>
      </c>
      <c r="B72">
        <v>143.32</v>
      </c>
      <c r="C72">
        <f t="shared" si="4"/>
        <v>1970</v>
      </c>
      <c r="D72">
        <f t="shared" si="5"/>
        <v>143.32</v>
      </c>
      <c r="E72">
        <f t="shared" si="6"/>
        <v>64.041896233539319</v>
      </c>
      <c r="F72">
        <f t="shared" si="7"/>
        <v>2</v>
      </c>
    </row>
    <row r="73" spans="1:6" x14ac:dyDescent="0.2">
      <c r="A73">
        <v>197101197112</v>
      </c>
      <c r="B73">
        <v>223.09</v>
      </c>
      <c r="C73">
        <f t="shared" si="4"/>
        <v>1971</v>
      </c>
      <c r="D73">
        <f t="shared" si="5"/>
        <v>223.09</v>
      </c>
      <c r="E73">
        <f t="shared" si="6"/>
        <v>99.686761308542344</v>
      </c>
      <c r="F73">
        <f t="shared" si="7"/>
        <v>3</v>
      </c>
    </row>
    <row r="74" spans="1:6" x14ac:dyDescent="0.2">
      <c r="A74">
        <v>197201197212</v>
      </c>
      <c r="B74">
        <v>140.12</v>
      </c>
      <c r="C74">
        <f t="shared" si="4"/>
        <v>1972</v>
      </c>
      <c r="D74">
        <f t="shared" si="5"/>
        <v>140.12</v>
      </c>
      <c r="E74">
        <f t="shared" si="6"/>
        <v>62.611990651992258</v>
      </c>
      <c r="F74">
        <f t="shared" si="7"/>
        <v>4</v>
      </c>
    </row>
    <row r="75" spans="1:6" x14ac:dyDescent="0.2">
      <c r="A75">
        <v>197301197312</v>
      </c>
      <c r="B75">
        <v>377.1</v>
      </c>
      <c r="C75">
        <f t="shared" si="4"/>
        <v>1973</v>
      </c>
      <c r="D75">
        <f t="shared" si="5"/>
        <v>377.1</v>
      </c>
      <c r="E75">
        <f t="shared" si="6"/>
        <v>168.50543587543734</v>
      </c>
      <c r="F75">
        <f t="shared" si="7"/>
        <v>0</v>
      </c>
    </row>
    <row r="76" spans="1:6" x14ac:dyDescent="0.2">
      <c r="A76">
        <v>197401197412</v>
      </c>
      <c r="B76">
        <v>448.02</v>
      </c>
      <c r="C76">
        <f t="shared" si="4"/>
        <v>1974</v>
      </c>
      <c r="D76">
        <f t="shared" si="5"/>
        <v>448.02</v>
      </c>
      <c r="E76">
        <f t="shared" si="6"/>
        <v>200.19571832647421</v>
      </c>
      <c r="F76">
        <f t="shared" si="7"/>
        <v>0</v>
      </c>
    </row>
    <row r="77" spans="1:6" x14ac:dyDescent="0.2">
      <c r="A77">
        <v>197501197512</v>
      </c>
      <c r="B77">
        <v>305.29000000000002</v>
      </c>
      <c r="C77">
        <f t="shared" si="4"/>
        <v>1975</v>
      </c>
      <c r="D77">
        <f t="shared" si="5"/>
        <v>305.29000000000002</v>
      </c>
      <c r="E77">
        <f t="shared" si="6"/>
        <v>136.41746093453267</v>
      </c>
      <c r="F77">
        <f t="shared" si="7"/>
        <v>0</v>
      </c>
    </row>
    <row r="78" spans="1:6" x14ac:dyDescent="0.2">
      <c r="A78">
        <v>197601197612</v>
      </c>
      <c r="B78">
        <v>256.72000000000003</v>
      </c>
      <c r="C78">
        <f t="shared" si="4"/>
        <v>1976</v>
      </c>
      <c r="D78">
        <f t="shared" si="5"/>
        <v>256.72000000000003</v>
      </c>
      <c r="E78">
        <f t="shared" si="6"/>
        <v>114.71417527961356</v>
      </c>
      <c r="F78">
        <f t="shared" si="7"/>
        <v>0</v>
      </c>
    </row>
    <row r="79" spans="1:6" x14ac:dyDescent="0.2">
      <c r="A79">
        <v>197701197712</v>
      </c>
      <c r="B79">
        <v>160.27000000000001</v>
      </c>
      <c r="C79">
        <f t="shared" si="4"/>
        <v>1977</v>
      </c>
      <c r="D79">
        <f t="shared" si="5"/>
        <v>160.27000000000001</v>
      </c>
      <c r="E79">
        <f t="shared" si="6"/>
        <v>71.615927360796448</v>
      </c>
      <c r="F79">
        <f t="shared" si="7"/>
        <v>1</v>
      </c>
    </row>
    <row r="80" spans="1:6" x14ac:dyDescent="0.2">
      <c r="A80">
        <v>197801197812</v>
      </c>
      <c r="B80">
        <v>239.7</v>
      </c>
      <c r="C80">
        <f t="shared" si="4"/>
        <v>1978</v>
      </c>
      <c r="D80">
        <f t="shared" si="5"/>
        <v>239.7</v>
      </c>
      <c r="E80">
        <f t="shared" si="6"/>
        <v>107.10886496776008</v>
      </c>
      <c r="F80">
        <f t="shared" si="7"/>
        <v>0</v>
      </c>
    </row>
    <row r="81" spans="1:6" x14ac:dyDescent="0.2">
      <c r="A81">
        <v>197901197912</v>
      </c>
      <c r="B81">
        <v>315.19</v>
      </c>
      <c r="C81">
        <f t="shared" si="4"/>
        <v>1979</v>
      </c>
      <c r="D81">
        <f t="shared" si="5"/>
        <v>315.19</v>
      </c>
      <c r="E81">
        <f t="shared" si="6"/>
        <v>140.84123132744389</v>
      </c>
      <c r="F81">
        <f t="shared" si="7"/>
        <v>0</v>
      </c>
    </row>
    <row r="82" spans="1:6" x14ac:dyDescent="0.2">
      <c r="A82">
        <v>198001198012</v>
      </c>
      <c r="B82">
        <v>188.42</v>
      </c>
      <c r="C82">
        <f t="shared" si="4"/>
        <v>1980</v>
      </c>
      <c r="D82">
        <f t="shared" si="5"/>
        <v>188.42</v>
      </c>
      <c r="E82">
        <f t="shared" si="6"/>
        <v>84.194628023468312</v>
      </c>
      <c r="F82">
        <f t="shared" si="7"/>
        <v>1</v>
      </c>
    </row>
    <row r="83" spans="1:6" x14ac:dyDescent="0.2">
      <c r="A83">
        <v>198101198112</v>
      </c>
      <c r="B83">
        <v>258.64</v>
      </c>
      <c r="C83">
        <f t="shared" si="4"/>
        <v>1981</v>
      </c>
      <c r="D83">
        <f t="shared" si="5"/>
        <v>258.64</v>
      </c>
      <c r="E83">
        <f t="shared" si="6"/>
        <v>115.5721186285418</v>
      </c>
      <c r="F83">
        <f t="shared" si="7"/>
        <v>0</v>
      </c>
    </row>
    <row r="84" spans="1:6" x14ac:dyDescent="0.2">
      <c r="A84">
        <v>198201198212</v>
      </c>
      <c r="B84">
        <v>146.81</v>
      </c>
      <c r="C84">
        <f t="shared" si="4"/>
        <v>1982</v>
      </c>
      <c r="D84">
        <f t="shared" si="5"/>
        <v>146.81</v>
      </c>
      <c r="E84">
        <f t="shared" si="6"/>
        <v>65.601387008414093</v>
      </c>
      <c r="F84">
        <f t="shared" si="7"/>
        <v>1</v>
      </c>
    </row>
    <row r="85" spans="1:6" x14ac:dyDescent="0.2">
      <c r="A85">
        <v>198301198312</v>
      </c>
      <c r="B85">
        <v>227.77</v>
      </c>
      <c r="C85">
        <f t="shared" si="4"/>
        <v>1983</v>
      </c>
      <c r="D85">
        <f t="shared" si="5"/>
        <v>227.77</v>
      </c>
      <c r="E85">
        <f t="shared" si="6"/>
        <v>101.77799822155494</v>
      </c>
      <c r="F85">
        <f t="shared" si="7"/>
        <v>0</v>
      </c>
    </row>
    <row r="86" spans="1:6" x14ac:dyDescent="0.2">
      <c r="A86">
        <v>198401198412</v>
      </c>
      <c r="B86">
        <v>237.82</v>
      </c>
      <c r="C86">
        <f t="shared" si="4"/>
        <v>1984</v>
      </c>
      <c r="D86">
        <f t="shared" si="5"/>
        <v>237.82</v>
      </c>
      <c r="E86">
        <f t="shared" si="6"/>
        <v>106.26879543860117</v>
      </c>
      <c r="F86">
        <f t="shared" si="7"/>
        <v>0</v>
      </c>
    </row>
    <row r="87" spans="1:6" x14ac:dyDescent="0.2">
      <c r="A87">
        <v>198501198512</v>
      </c>
      <c r="B87">
        <v>165.8</v>
      </c>
      <c r="C87">
        <f t="shared" si="4"/>
        <v>1985</v>
      </c>
      <c r="D87">
        <f t="shared" si="5"/>
        <v>165.8</v>
      </c>
      <c r="E87">
        <f t="shared" si="6"/>
        <v>74.086982943907486</v>
      </c>
      <c r="F87">
        <f t="shared" si="7"/>
        <v>1</v>
      </c>
    </row>
    <row r="88" spans="1:6" x14ac:dyDescent="0.2">
      <c r="A88">
        <v>198601198612</v>
      </c>
      <c r="B88">
        <v>200.41</v>
      </c>
      <c r="C88">
        <f t="shared" si="4"/>
        <v>1986</v>
      </c>
      <c r="D88">
        <f t="shared" si="5"/>
        <v>200.41</v>
      </c>
      <c r="E88">
        <f t="shared" si="6"/>
        <v>89.552305499327488</v>
      </c>
      <c r="F88">
        <f t="shared" si="7"/>
        <v>2</v>
      </c>
    </row>
    <row r="89" spans="1:6" x14ac:dyDescent="0.2">
      <c r="A89">
        <v>198701198712</v>
      </c>
      <c r="B89">
        <v>208.14</v>
      </c>
      <c r="C89">
        <f t="shared" si="4"/>
        <v>1987</v>
      </c>
      <c r="D89">
        <f t="shared" si="5"/>
        <v>208.14</v>
      </c>
      <c r="E89">
        <f t="shared" si="6"/>
        <v>93.006421169752116</v>
      </c>
      <c r="F89">
        <f t="shared" si="7"/>
        <v>3</v>
      </c>
    </row>
    <row r="90" spans="1:6" x14ac:dyDescent="0.2">
      <c r="A90">
        <v>198801198812</v>
      </c>
      <c r="B90">
        <v>232.29</v>
      </c>
      <c r="C90">
        <f t="shared" si="4"/>
        <v>1988</v>
      </c>
      <c r="D90">
        <f t="shared" si="5"/>
        <v>232.29</v>
      </c>
      <c r="E90">
        <f t="shared" si="6"/>
        <v>103.79773985549015</v>
      </c>
      <c r="F90">
        <f t="shared" si="7"/>
        <v>0</v>
      </c>
    </row>
    <row r="91" spans="1:6" x14ac:dyDescent="0.2">
      <c r="A91">
        <v>198901198912</v>
      </c>
      <c r="B91">
        <v>320.45999999999998</v>
      </c>
      <c r="C91">
        <f t="shared" si="4"/>
        <v>1989</v>
      </c>
      <c r="D91">
        <f t="shared" si="5"/>
        <v>320.45999999999998</v>
      </c>
      <c r="E91">
        <f t="shared" si="6"/>
        <v>143.19610708205423</v>
      </c>
      <c r="F91">
        <f t="shared" si="7"/>
        <v>0</v>
      </c>
    </row>
    <row r="92" spans="1:6" x14ac:dyDescent="0.2">
      <c r="A92">
        <v>199001199012</v>
      </c>
      <c r="B92">
        <v>196.36</v>
      </c>
      <c r="C92">
        <f t="shared" si="4"/>
        <v>1990</v>
      </c>
      <c r="D92">
        <f t="shared" si="5"/>
        <v>196.36</v>
      </c>
      <c r="E92">
        <f t="shared" si="6"/>
        <v>87.742581247681983</v>
      </c>
      <c r="F92">
        <f t="shared" si="7"/>
        <v>1</v>
      </c>
    </row>
    <row r="93" spans="1:6" x14ac:dyDescent="0.2">
      <c r="A93">
        <v>199101199112</v>
      </c>
      <c r="B93">
        <v>169.06</v>
      </c>
      <c r="C93">
        <f t="shared" si="4"/>
        <v>1991</v>
      </c>
      <c r="D93">
        <f t="shared" si="5"/>
        <v>169.06</v>
      </c>
      <c r="E93">
        <f t="shared" si="6"/>
        <v>75.54369925510855</v>
      </c>
      <c r="F93">
        <f t="shared" si="7"/>
        <v>2</v>
      </c>
    </row>
    <row r="94" spans="1:6" x14ac:dyDescent="0.2">
      <c r="A94">
        <v>199201199212</v>
      </c>
      <c r="B94">
        <v>347.19</v>
      </c>
      <c r="C94">
        <f t="shared" si="4"/>
        <v>1992</v>
      </c>
      <c r="D94">
        <f t="shared" si="5"/>
        <v>347.19</v>
      </c>
      <c r="E94">
        <f t="shared" si="6"/>
        <v>155.14028714291456</v>
      </c>
      <c r="F94">
        <f t="shared" si="7"/>
        <v>0</v>
      </c>
    </row>
    <row r="95" spans="1:6" x14ac:dyDescent="0.2">
      <c r="A95">
        <v>199301199312</v>
      </c>
      <c r="B95">
        <v>251.49</v>
      </c>
      <c r="C95">
        <f t="shared" si="4"/>
        <v>1993</v>
      </c>
      <c r="D95">
        <f t="shared" si="5"/>
        <v>251.49</v>
      </c>
      <c r="E95">
        <f t="shared" si="6"/>
        <v>112.37717334477257</v>
      </c>
      <c r="F95">
        <f t="shared" si="7"/>
        <v>0</v>
      </c>
    </row>
    <row r="96" spans="1:6" x14ac:dyDescent="0.2">
      <c r="A96">
        <v>199401199412</v>
      </c>
      <c r="B96">
        <v>121.32</v>
      </c>
      <c r="C96">
        <f t="shared" si="4"/>
        <v>1994</v>
      </c>
      <c r="D96">
        <f t="shared" si="5"/>
        <v>121.32</v>
      </c>
      <c r="E96">
        <f t="shared" si="6"/>
        <v>54.21129536040322</v>
      </c>
      <c r="F96">
        <f t="shared" si="7"/>
        <v>1</v>
      </c>
    </row>
    <row r="97" spans="1:6" x14ac:dyDescent="0.2">
      <c r="A97">
        <v>199501199512</v>
      </c>
      <c r="B97">
        <v>247.61</v>
      </c>
      <c r="C97">
        <f t="shared" si="4"/>
        <v>1995</v>
      </c>
      <c r="D97">
        <f t="shared" si="5"/>
        <v>247.61</v>
      </c>
      <c r="E97">
        <f t="shared" si="6"/>
        <v>110.64341282714676</v>
      </c>
      <c r="F97">
        <f t="shared" si="7"/>
        <v>0</v>
      </c>
    </row>
    <row r="98" spans="1:6" x14ac:dyDescent="0.2">
      <c r="A98">
        <v>199601199612</v>
      </c>
      <c r="B98">
        <v>181.74</v>
      </c>
      <c r="C98">
        <f t="shared" si="4"/>
        <v>1996</v>
      </c>
      <c r="D98">
        <f t="shared" si="5"/>
        <v>181.74</v>
      </c>
      <c r="E98">
        <f t="shared" si="6"/>
        <v>81.209700121988817</v>
      </c>
      <c r="F98">
        <f t="shared" si="7"/>
        <v>1</v>
      </c>
    </row>
    <row r="99" spans="1:6" x14ac:dyDescent="0.2">
      <c r="A99">
        <v>199701199712</v>
      </c>
      <c r="B99">
        <v>249.21</v>
      </c>
      <c r="C99">
        <f t="shared" si="4"/>
        <v>1997</v>
      </c>
      <c r="D99">
        <f t="shared" si="5"/>
        <v>249.21</v>
      </c>
      <c r="E99">
        <f t="shared" si="6"/>
        <v>111.35836561792027</v>
      </c>
      <c r="F99">
        <f t="shared" si="7"/>
        <v>0</v>
      </c>
    </row>
    <row r="100" spans="1:6" x14ac:dyDescent="0.2">
      <c r="A100">
        <v>199801199812</v>
      </c>
      <c r="B100">
        <v>256.20999999999998</v>
      </c>
      <c r="C100">
        <f t="shared" si="4"/>
        <v>1998</v>
      </c>
      <c r="D100">
        <f t="shared" si="5"/>
        <v>256.20999999999998</v>
      </c>
      <c r="E100">
        <f t="shared" si="6"/>
        <v>114.48628407755447</v>
      </c>
      <c r="F100">
        <f t="shared" si="7"/>
        <v>0</v>
      </c>
    </row>
    <row r="101" spans="1:6" x14ac:dyDescent="0.2">
      <c r="A101">
        <v>199901199912</v>
      </c>
      <c r="B101">
        <v>200.77</v>
      </c>
      <c r="C101">
        <f t="shared" si="4"/>
        <v>1999</v>
      </c>
      <c r="D101">
        <f t="shared" si="5"/>
        <v>200.77</v>
      </c>
      <c r="E101">
        <f t="shared" si="6"/>
        <v>89.713169877251545</v>
      </c>
      <c r="F101">
        <f t="shared" si="7"/>
        <v>1</v>
      </c>
    </row>
    <row r="102" spans="1:6" x14ac:dyDescent="0.2">
      <c r="A102">
        <v>200001200012</v>
      </c>
      <c r="B102">
        <v>283.3</v>
      </c>
      <c r="C102">
        <f t="shared" si="4"/>
        <v>2000</v>
      </c>
      <c r="D102">
        <f t="shared" si="5"/>
        <v>283.3</v>
      </c>
      <c r="E102">
        <f t="shared" si="6"/>
        <v>126.59132851633889</v>
      </c>
      <c r="F102">
        <f t="shared" si="7"/>
        <v>0</v>
      </c>
    </row>
    <row r="103" spans="1:6" x14ac:dyDescent="0.2">
      <c r="A103">
        <v>200101200112</v>
      </c>
      <c r="B103">
        <v>309.69</v>
      </c>
      <c r="C103">
        <f t="shared" si="4"/>
        <v>2001</v>
      </c>
      <c r="D103">
        <f t="shared" si="5"/>
        <v>309.69</v>
      </c>
      <c r="E103">
        <f t="shared" si="6"/>
        <v>138.38358110915988</v>
      </c>
      <c r="F103">
        <f t="shared" si="7"/>
        <v>0</v>
      </c>
    </row>
    <row r="104" spans="1:6" x14ac:dyDescent="0.2">
      <c r="A104">
        <v>200201200212</v>
      </c>
      <c r="B104">
        <v>126.82</v>
      </c>
      <c r="C104">
        <f t="shared" si="4"/>
        <v>2002</v>
      </c>
      <c r="D104">
        <f t="shared" si="5"/>
        <v>126.82</v>
      </c>
      <c r="E104">
        <f t="shared" si="6"/>
        <v>56.668945578687243</v>
      </c>
      <c r="F104">
        <f t="shared" si="7"/>
        <v>1</v>
      </c>
    </row>
    <row r="105" spans="1:6" x14ac:dyDescent="0.2">
      <c r="A105">
        <v>200301200312</v>
      </c>
      <c r="B105">
        <v>238.85</v>
      </c>
      <c r="C105">
        <f t="shared" si="4"/>
        <v>2003</v>
      </c>
      <c r="D105">
        <f t="shared" si="5"/>
        <v>238.85</v>
      </c>
      <c r="E105">
        <f t="shared" si="6"/>
        <v>106.72904629766164</v>
      </c>
      <c r="F105">
        <f t="shared" si="7"/>
        <v>0</v>
      </c>
    </row>
    <row r="106" spans="1:6" x14ac:dyDescent="0.2">
      <c r="A106">
        <v>200401200412</v>
      </c>
      <c r="B106">
        <v>202.75</v>
      </c>
      <c r="C106">
        <f t="shared" si="4"/>
        <v>2004</v>
      </c>
      <c r="D106">
        <f t="shared" si="5"/>
        <v>202.75</v>
      </c>
      <c r="E106">
        <f t="shared" si="6"/>
        <v>90.597923955833778</v>
      </c>
      <c r="F106">
        <f t="shared" si="7"/>
        <v>1</v>
      </c>
    </row>
    <row r="107" spans="1:6" x14ac:dyDescent="0.2">
      <c r="A107">
        <v>200501200512</v>
      </c>
      <c r="B107">
        <v>198.7</v>
      </c>
      <c r="C107">
        <f t="shared" si="4"/>
        <v>2005</v>
      </c>
      <c r="D107">
        <f t="shared" si="5"/>
        <v>198.7</v>
      </c>
      <c r="E107">
        <f t="shared" si="6"/>
        <v>88.788199704188258</v>
      </c>
      <c r="F107">
        <f t="shared" si="7"/>
        <v>2</v>
      </c>
    </row>
    <row r="108" spans="1:6" x14ac:dyDescent="0.2">
      <c r="A108">
        <v>200601200612</v>
      </c>
      <c r="B108">
        <v>150.22999999999999</v>
      </c>
      <c r="C108">
        <f t="shared" si="4"/>
        <v>2006</v>
      </c>
      <c r="D108">
        <f t="shared" si="5"/>
        <v>150.22999999999999</v>
      </c>
      <c r="E108">
        <f t="shared" si="6"/>
        <v>67.129598598692525</v>
      </c>
      <c r="F108">
        <f t="shared" si="7"/>
        <v>3</v>
      </c>
    </row>
    <row r="109" spans="1:6" x14ac:dyDescent="0.2">
      <c r="A109">
        <v>200701200712</v>
      </c>
      <c r="B109">
        <v>209.66</v>
      </c>
      <c r="C109">
        <f t="shared" si="4"/>
        <v>2007</v>
      </c>
      <c r="D109">
        <f t="shared" si="5"/>
        <v>209.66</v>
      </c>
      <c r="E109">
        <f t="shared" si="6"/>
        <v>93.685626320986984</v>
      </c>
      <c r="F109">
        <f t="shared" si="7"/>
        <v>4</v>
      </c>
    </row>
    <row r="110" spans="1:6" x14ac:dyDescent="0.2">
      <c r="A110">
        <v>200801200812</v>
      </c>
      <c r="B110">
        <v>179.65</v>
      </c>
      <c r="C110">
        <f t="shared" si="4"/>
        <v>2008</v>
      </c>
      <c r="D110">
        <f t="shared" si="5"/>
        <v>179.65</v>
      </c>
      <c r="E110">
        <f t="shared" si="6"/>
        <v>80.275793039040892</v>
      </c>
      <c r="F110">
        <f t="shared" si="7"/>
        <v>5</v>
      </c>
    </row>
    <row r="111" spans="1:6" x14ac:dyDescent="0.2">
      <c r="A111">
        <v>200901200912</v>
      </c>
      <c r="B111">
        <v>198.71</v>
      </c>
      <c r="C111">
        <f t="shared" si="4"/>
        <v>2009</v>
      </c>
      <c r="D111">
        <f t="shared" si="5"/>
        <v>198.71</v>
      </c>
      <c r="E111">
        <f t="shared" si="6"/>
        <v>88.792668159130599</v>
      </c>
      <c r="F111">
        <f t="shared" si="7"/>
        <v>6</v>
      </c>
    </row>
    <row r="112" spans="1:6" x14ac:dyDescent="0.2">
      <c r="A112">
        <v>201001201012</v>
      </c>
      <c r="B112">
        <v>360.71</v>
      </c>
      <c r="C112">
        <f t="shared" si="4"/>
        <v>2010</v>
      </c>
      <c r="D112">
        <f t="shared" si="5"/>
        <v>360.71</v>
      </c>
      <c r="E112">
        <f t="shared" si="6"/>
        <v>161.18163822495092</v>
      </c>
      <c r="F112">
        <f t="shared" si="7"/>
        <v>0</v>
      </c>
    </row>
    <row r="113" spans="1:6" x14ac:dyDescent="0.2">
      <c r="A113">
        <v>201101201112</v>
      </c>
      <c r="B113">
        <v>341.79</v>
      </c>
      <c r="C113">
        <f t="shared" si="4"/>
        <v>2011</v>
      </c>
      <c r="D113">
        <f t="shared" si="5"/>
        <v>341.79</v>
      </c>
      <c r="E113">
        <f t="shared" si="6"/>
        <v>152.72732147405389</v>
      </c>
      <c r="F113">
        <f t="shared" si="7"/>
        <v>0</v>
      </c>
    </row>
    <row r="114" spans="1:6" x14ac:dyDescent="0.2">
      <c r="A114">
        <v>201201201212</v>
      </c>
      <c r="B114">
        <v>171.12</v>
      </c>
      <c r="C114">
        <f t="shared" si="4"/>
        <v>2012</v>
      </c>
      <c r="D114">
        <f t="shared" si="5"/>
        <v>171.12</v>
      </c>
      <c r="E114">
        <f t="shared" si="6"/>
        <v>76.464200973229481</v>
      </c>
      <c r="F114">
        <f t="shared" si="7"/>
        <v>1</v>
      </c>
    </row>
    <row r="115" spans="1:6" x14ac:dyDescent="0.2">
      <c r="A115">
        <v>201301201312</v>
      </c>
      <c r="B115">
        <v>188.88</v>
      </c>
      <c r="C115">
        <f t="shared" si="4"/>
        <v>2013</v>
      </c>
      <c r="D115">
        <f t="shared" si="5"/>
        <v>188.88</v>
      </c>
      <c r="E115">
        <f t="shared" si="6"/>
        <v>84.400176950815705</v>
      </c>
      <c r="F115">
        <f t="shared" si="7"/>
        <v>2</v>
      </c>
    </row>
    <row r="116" spans="1:6" x14ac:dyDescent="0.2">
      <c r="A116">
        <v>201401201412</v>
      </c>
      <c r="B116">
        <v>197.04</v>
      </c>
      <c r="C116">
        <f t="shared" si="4"/>
        <v>2014</v>
      </c>
      <c r="D116">
        <f t="shared" si="5"/>
        <v>197.04</v>
      </c>
      <c r="E116">
        <f t="shared" si="6"/>
        <v>88.046436183760719</v>
      </c>
      <c r="F116">
        <f t="shared" si="7"/>
        <v>3</v>
      </c>
    </row>
    <row r="117" spans="1:6" x14ac:dyDescent="0.2">
      <c r="A117">
        <v>201501201512</v>
      </c>
      <c r="B117">
        <v>191.57</v>
      </c>
      <c r="C117">
        <f t="shared" si="4"/>
        <v>2015</v>
      </c>
      <c r="D117">
        <f t="shared" si="5"/>
        <v>191.57</v>
      </c>
      <c r="E117">
        <f t="shared" si="6"/>
        <v>85.602191330303711</v>
      </c>
      <c r="F117">
        <f t="shared" si="7"/>
        <v>4</v>
      </c>
    </row>
    <row r="118" spans="1:6" x14ac:dyDescent="0.2">
      <c r="A118">
        <v>201601201612</v>
      </c>
      <c r="B118">
        <v>355.56</v>
      </c>
      <c r="C118">
        <f t="shared" si="4"/>
        <v>2016</v>
      </c>
      <c r="D118">
        <f t="shared" si="5"/>
        <v>355.56</v>
      </c>
      <c r="E118">
        <f t="shared" si="6"/>
        <v>158.88038392964862</v>
      </c>
      <c r="F118">
        <f t="shared" si="7"/>
        <v>0</v>
      </c>
    </row>
    <row r="119" spans="1:6" x14ac:dyDescent="0.2">
      <c r="A119">
        <v>201701201712</v>
      </c>
      <c r="B119">
        <v>232.46</v>
      </c>
      <c r="C119">
        <f t="shared" si="4"/>
        <v>2017</v>
      </c>
      <c r="D119">
        <f t="shared" si="5"/>
        <v>232.46</v>
      </c>
      <c r="E119">
        <f t="shared" si="6"/>
        <v>103.87370358950984</v>
      </c>
      <c r="F119">
        <f t="shared" si="7"/>
        <v>0</v>
      </c>
    </row>
    <row r="120" spans="1:6" x14ac:dyDescent="0.2">
      <c r="A120">
        <v>201801201812</v>
      </c>
      <c r="B120">
        <v>166.44</v>
      </c>
      <c r="C120">
        <f t="shared" si="4"/>
        <v>2018</v>
      </c>
      <c r="D120">
        <f t="shared" si="5"/>
        <v>166.44</v>
      </c>
      <c r="E120">
        <f t="shared" si="6"/>
        <v>74.372964060216887</v>
      </c>
      <c r="F120">
        <f t="shared" si="7"/>
        <v>1</v>
      </c>
    </row>
    <row r="121" spans="1:6" x14ac:dyDescent="0.2">
      <c r="A121">
        <v>201901201912</v>
      </c>
      <c r="B121">
        <v>82.31</v>
      </c>
      <c r="C121">
        <f t="shared" si="4"/>
        <v>2019</v>
      </c>
      <c r="D121">
        <f t="shared" si="5"/>
        <v>82.31</v>
      </c>
      <c r="E121">
        <f t="shared" si="6"/>
        <v>36.779852630355997</v>
      </c>
      <c r="F121">
        <f t="shared" si="7"/>
        <v>2</v>
      </c>
    </row>
    <row r="122" spans="1:6" x14ac:dyDescent="0.2">
      <c r="A122">
        <v>202001202012</v>
      </c>
      <c r="B122">
        <v>223.06</v>
      </c>
      <c r="C122">
        <f t="shared" si="4"/>
        <v>2020</v>
      </c>
      <c r="D122">
        <f t="shared" si="5"/>
        <v>223.06</v>
      </c>
      <c r="E122">
        <f t="shared" si="6"/>
        <v>99.673355943715336</v>
      </c>
      <c r="F122">
        <f t="shared" si="7"/>
        <v>3</v>
      </c>
    </row>
    <row r="123" spans="1:6" x14ac:dyDescent="0.2">
      <c r="A123">
        <v>202101202112</v>
      </c>
      <c r="B123">
        <v>219.2</v>
      </c>
      <c r="C123">
        <f t="shared" si="4"/>
        <v>2021</v>
      </c>
      <c r="D123">
        <f t="shared" si="5"/>
        <v>219.2</v>
      </c>
      <c r="E123">
        <f t="shared" si="6"/>
        <v>97.948532335974164</v>
      </c>
      <c r="F123">
        <f t="shared" si="7"/>
        <v>4</v>
      </c>
    </row>
    <row r="124" spans="1:6" x14ac:dyDescent="0.2">
      <c r="A124">
        <v>202201202212</v>
      </c>
      <c r="B124">
        <v>312.14999999999998</v>
      </c>
      <c r="C124">
        <f t="shared" si="4"/>
        <v>2022</v>
      </c>
      <c r="D124">
        <f t="shared" si="5"/>
        <v>312.14999999999998</v>
      </c>
      <c r="E124">
        <f t="shared" si="6"/>
        <v>139.48282102497419</v>
      </c>
      <c r="F124">
        <f t="shared" si="7"/>
        <v>0</v>
      </c>
    </row>
    <row r="125" spans="1:6" x14ac:dyDescent="0.2">
      <c r="A125">
        <v>202301202312</v>
      </c>
      <c r="B125">
        <v>196.07</v>
      </c>
      <c r="C125">
        <f t="shared" si="4"/>
        <v>2023</v>
      </c>
      <c r="D125">
        <f t="shared" si="5"/>
        <v>196.07</v>
      </c>
      <c r="E125">
        <f t="shared" si="6"/>
        <v>87.612996054354269</v>
      </c>
      <c r="F125">
        <f t="shared" si="7"/>
        <v>1</v>
      </c>
    </row>
    <row r="126" spans="1:6" x14ac:dyDescent="0.2">
      <c r="A126">
        <v>202401202412</v>
      </c>
      <c r="B126">
        <v>217.46</v>
      </c>
      <c r="C126">
        <f t="shared" si="4"/>
        <v>2024</v>
      </c>
      <c r="D126">
        <f t="shared" si="5"/>
        <v>217.46</v>
      </c>
      <c r="E126">
        <f t="shared" si="6"/>
        <v>97.171021176007969</v>
      </c>
      <c r="F126">
        <f t="shared" si="7"/>
        <v>2</v>
      </c>
    </row>
    <row r="127" spans="1:6" x14ac:dyDescent="0.2">
      <c r="A127">
        <v>202501202512</v>
      </c>
      <c r="B127">
        <v>160.88</v>
      </c>
      <c r="C127">
        <f t="shared" si="4"/>
        <v>2025</v>
      </c>
      <c r="D127">
        <f t="shared" si="5"/>
        <v>160.88</v>
      </c>
      <c r="E127">
        <f t="shared" si="6"/>
        <v>71.888503112278855</v>
      </c>
      <c r="F127">
        <f t="shared" si="7"/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6D27-E604-C243-A34D-EB5B10A59C46}">
  <dimension ref="A1:H127"/>
  <sheetViews>
    <sheetView workbookViewId="0">
      <selection activeCell="G17" sqref="G17"/>
    </sheetView>
  </sheetViews>
  <sheetFormatPr baseColWidth="10" defaultRowHeight="16" x14ac:dyDescent="0.2"/>
  <cols>
    <col min="1" max="1" width="12.1640625" bestFit="1" customWidth="1"/>
    <col min="2" max="2" width="7.1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392.46</v>
      </c>
      <c r="C2">
        <f>INT(A2/100000000)</f>
        <v>1900</v>
      </c>
      <c r="D2">
        <f>B2</f>
        <v>392.46</v>
      </c>
      <c r="E2">
        <f>D2 / $G$2 * 100</f>
        <v>114.80955273830406</v>
      </c>
      <c r="F2">
        <f>IF(E2&lt;100, 1, 0)</f>
        <v>0</v>
      </c>
      <c r="G2">
        <f>AVERAGEIFS(D:D, C:C, "&gt;=1961", C:C, "&lt;=1990")</f>
        <v>341.83566666666667</v>
      </c>
    </row>
    <row r="3" spans="1:8" x14ac:dyDescent="0.2">
      <c r="A3">
        <v>190101190112</v>
      </c>
      <c r="B3">
        <v>309.36</v>
      </c>
      <c r="C3">
        <f t="shared" ref="C3:C66" si="0">INT(A3/100000000)</f>
        <v>1901</v>
      </c>
      <c r="D3">
        <f t="shared" ref="D3:D66" si="1">B3</f>
        <v>309.36</v>
      </c>
      <c r="E3">
        <f t="shared" ref="E3:E66" si="2">D3 / $G$2 * 100</f>
        <v>90.499626038632599</v>
      </c>
      <c r="F3">
        <f>IF(E3&lt;100, F2+1, 0)</f>
        <v>1</v>
      </c>
    </row>
    <row r="4" spans="1:8" x14ac:dyDescent="0.2">
      <c r="A4">
        <v>190201190212</v>
      </c>
      <c r="B4">
        <v>347.17</v>
      </c>
      <c r="C4">
        <f t="shared" si="0"/>
        <v>1902</v>
      </c>
      <c r="D4">
        <f t="shared" si="1"/>
        <v>347.17</v>
      </c>
      <c r="E4">
        <f t="shared" si="2"/>
        <v>101.56049641786942</v>
      </c>
      <c r="F4">
        <f t="shared" ref="F4:F67" si="3">IF(E4&lt;100, F3+1, 0)</f>
        <v>0</v>
      </c>
      <c r="G4" t="s">
        <v>7</v>
      </c>
      <c r="H4">
        <f>AVERAGEIFS(E:E, C:C, "&gt;=1900", C:C, "&lt;=1902")</f>
        <v>102.28989173160203</v>
      </c>
    </row>
    <row r="5" spans="1:8" x14ac:dyDescent="0.2">
      <c r="A5">
        <v>190301190312</v>
      </c>
      <c r="B5">
        <v>359.83</v>
      </c>
      <c r="C5">
        <f t="shared" si="0"/>
        <v>1903</v>
      </c>
      <c r="D5">
        <f t="shared" si="1"/>
        <v>359.83</v>
      </c>
      <c r="E5">
        <f t="shared" si="2"/>
        <v>105.26403037716953</v>
      </c>
      <c r="F5">
        <f t="shared" si="3"/>
        <v>0</v>
      </c>
      <c r="G5" t="s">
        <v>8</v>
      </c>
      <c r="H5">
        <f>AVERAGEIFS(E:E, C:C, "&gt;=1937", C:C, "&lt;=1945")</f>
        <v>92.261031210253407</v>
      </c>
    </row>
    <row r="6" spans="1:8" x14ac:dyDescent="0.2">
      <c r="A6">
        <v>190401190412</v>
      </c>
      <c r="B6">
        <v>393.71</v>
      </c>
      <c r="C6">
        <f t="shared" si="0"/>
        <v>1904</v>
      </c>
      <c r="D6">
        <f t="shared" si="1"/>
        <v>393.71</v>
      </c>
      <c r="E6">
        <f t="shared" si="2"/>
        <v>115.17522552259516</v>
      </c>
      <c r="F6">
        <f t="shared" si="3"/>
        <v>0</v>
      </c>
      <c r="G6" t="s">
        <v>9</v>
      </c>
      <c r="H6">
        <f>AVERAGEIFS(E:E, C:C, "&gt;=1997", C:C, "&lt;=2009")</f>
        <v>123.06588163408252</v>
      </c>
    </row>
    <row r="7" spans="1:8" x14ac:dyDescent="0.2">
      <c r="A7">
        <v>190501190512</v>
      </c>
      <c r="B7">
        <v>256.77</v>
      </c>
      <c r="C7">
        <f t="shared" si="0"/>
        <v>1905</v>
      </c>
      <c r="D7">
        <f t="shared" si="1"/>
        <v>256.77</v>
      </c>
      <c r="E7">
        <f t="shared" si="2"/>
        <v>75.115040657937968</v>
      </c>
      <c r="F7">
        <f t="shared" si="3"/>
        <v>1</v>
      </c>
      <c r="G7" t="s">
        <v>10</v>
      </c>
      <c r="H7">
        <f>AVERAGEIFS(E:E, C:C, "&gt;=2017", C:C, "&lt;=2019")</f>
        <v>99.554659305104693</v>
      </c>
    </row>
    <row r="8" spans="1:8" x14ac:dyDescent="0.2">
      <c r="A8">
        <v>190601190612</v>
      </c>
      <c r="B8">
        <v>319.27</v>
      </c>
      <c r="C8">
        <f t="shared" si="0"/>
        <v>1906</v>
      </c>
      <c r="D8">
        <f t="shared" si="1"/>
        <v>319.27</v>
      </c>
      <c r="E8">
        <f t="shared" si="2"/>
        <v>93.398679872492323</v>
      </c>
      <c r="F8">
        <f t="shared" si="3"/>
        <v>2</v>
      </c>
      <c r="G8" t="s">
        <v>11</v>
      </c>
      <c r="H8">
        <f>COUNTIF(E:E, "&lt;80")</f>
        <v>20</v>
      </c>
    </row>
    <row r="9" spans="1:8" x14ac:dyDescent="0.2">
      <c r="A9">
        <v>190701190712</v>
      </c>
      <c r="B9">
        <v>334.79</v>
      </c>
      <c r="C9">
        <f t="shared" si="0"/>
        <v>1907</v>
      </c>
      <c r="D9">
        <f t="shared" si="1"/>
        <v>334.79</v>
      </c>
      <c r="E9">
        <f t="shared" si="2"/>
        <v>97.938873162250488</v>
      </c>
      <c r="F9">
        <f t="shared" si="3"/>
        <v>3</v>
      </c>
      <c r="G9" t="s">
        <v>12</v>
      </c>
      <c r="H9">
        <f>MAX(F:F)</f>
        <v>7</v>
      </c>
    </row>
    <row r="10" spans="1:8" x14ac:dyDescent="0.2">
      <c r="A10">
        <v>190801190812</v>
      </c>
      <c r="B10">
        <v>356.54</v>
      </c>
      <c r="C10">
        <f t="shared" si="0"/>
        <v>1908</v>
      </c>
      <c r="D10">
        <f t="shared" si="1"/>
        <v>356.54</v>
      </c>
      <c r="E10">
        <f t="shared" si="2"/>
        <v>104.30157960891539</v>
      </c>
      <c r="F10">
        <f t="shared" si="3"/>
        <v>0</v>
      </c>
      <c r="G10" t="s">
        <v>13</v>
      </c>
      <c r="H10">
        <f>INDEX(C:C, MATCH(H9, F:F, 0))</f>
        <v>1954</v>
      </c>
    </row>
    <row r="11" spans="1:8" x14ac:dyDescent="0.2">
      <c r="A11">
        <v>190901190912</v>
      </c>
      <c r="B11">
        <v>361.69</v>
      </c>
      <c r="C11">
        <f t="shared" si="0"/>
        <v>1909</v>
      </c>
      <c r="D11">
        <f t="shared" si="1"/>
        <v>361.69</v>
      </c>
      <c r="E11">
        <f t="shared" si="2"/>
        <v>105.80815148019467</v>
      </c>
      <c r="F11">
        <f t="shared" si="3"/>
        <v>0</v>
      </c>
      <c r="G11" t="s">
        <v>14</v>
      </c>
      <c r="H11" t="str">
        <f>(H10-H9+1) &amp; "-" &amp; H10</f>
        <v>1948-1954</v>
      </c>
    </row>
    <row r="12" spans="1:8" x14ac:dyDescent="0.2">
      <c r="A12">
        <v>191001191012</v>
      </c>
      <c r="B12">
        <v>338.97</v>
      </c>
      <c r="C12">
        <f t="shared" si="0"/>
        <v>1910</v>
      </c>
      <c r="D12">
        <f t="shared" si="1"/>
        <v>338.97</v>
      </c>
      <c r="E12">
        <f t="shared" si="2"/>
        <v>99.16168295291989</v>
      </c>
      <c r="F12">
        <f t="shared" si="3"/>
        <v>1</v>
      </c>
    </row>
    <row r="13" spans="1:8" x14ac:dyDescent="0.2">
      <c r="A13">
        <v>191101191112</v>
      </c>
      <c r="B13">
        <v>235.4</v>
      </c>
      <c r="C13">
        <f t="shared" si="0"/>
        <v>1911</v>
      </c>
      <c r="D13">
        <f t="shared" si="1"/>
        <v>235.4</v>
      </c>
      <c r="E13">
        <f t="shared" si="2"/>
        <v>68.863498737697554</v>
      </c>
      <c r="F13">
        <f t="shared" si="3"/>
        <v>2</v>
      </c>
    </row>
    <row r="14" spans="1:8" x14ac:dyDescent="0.2">
      <c r="A14">
        <v>191201191212</v>
      </c>
      <c r="B14">
        <v>302.86</v>
      </c>
      <c r="C14">
        <f t="shared" si="0"/>
        <v>1912</v>
      </c>
      <c r="D14">
        <f t="shared" si="1"/>
        <v>302.86</v>
      </c>
      <c r="E14">
        <f t="shared" si="2"/>
        <v>88.598127560318957</v>
      </c>
      <c r="F14">
        <f t="shared" si="3"/>
        <v>3</v>
      </c>
    </row>
    <row r="15" spans="1:8" x14ac:dyDescent="0.2">
      <c r="A15">
        <v>191301191312</v>
      </c>
      <c r="B15">
        <v>291.8</v>
      </c>
      <c r="C15">
        <f t="shared" si="0"/>
        <v>1913</v>
      </c>
      <c r="D15">
        <f t="shared" si="1"/>
        <v>291.8</v>
      </c>
      <c r="E15">
        <f t="shared" si="2"/>
        <v>85.362654764911412</v>
      </c>
      <c r="F15">
        <f t="shared" si="3"/>
        <v>4</v>
      </c>
    </row>
    <row r="16" spans="1:8" x14ac:dyDescent="0.2">
      <c r="A16">
        <v>191401191412</v>
      </c>
      <c r="B16">
        <v>341.82</v>
      </c>
      <c r="C16">
        <f t="shared" si="0"/>
        <v>1914</v>
      </c>
      <c r="D16">
        <f t="shared" si="1"/>
        <v>341.82</v>
      </c>
      <c r="E16">
        <f t="shared" si="2"/>
        <v>99.995416901103553</v>
      </c>
      <c r="F16">
        <f t="shared" si="3"/>
        <v>5</v>
      </c>
    </row>
    <row r="17" spans="1:6" x14ac:dyDescent="0.2">
      <c r="A17">
        <v>191501191512</v>
      </c>
      <c r="B17">
        <v>413.92</v>
      </c>
      <c r="C17">
        <f t="shared" si="0"/>
        <v>1915</v>
      </c>
      <c r="D17">
        <f t="shared" si="1"/>
        <v>413.92</v>
      </c>
      <c r="E17">
        <f t="shared" si="2"/>
        <v>121.08742309901346</v>
      </c>
      <c r="F17">
        <f t="shared" si="3"/>
        <v>0</v>
      </c>
    </row>
    <row r="18" spans="1:6" x14ac:dyDescent="0.2">
      <c r="A18">
        <v>191601191612</v>
      </c>
      <c r="B18">
        <v>360.9</v>
      </c>
      <c r="C18">
        <f t="shared" si="0"/>
        <v>1916</v>
      </c>
      <c r="D18">
        <f t="shared" si="1"/>
        <v>360.9</v>
      </c>
      <c r="E18">
        <f t="shared" si="2"/>
        <v>105.57704628052269</v>
      </c>
      <c r="F18">
        <f t="shared" si="3"/>
        <v>0</v>
      </c>
    </row>
    <row r="19" spans="1:6" x14ac:dyDescent="0.2">
      <c r="A19">
        <v>191701191712</v>
      </c>
      <c r="B19">
        <v>458.19</v>
      </c>
      <c r="C19">
        <f t="shared" si="0"/>
        <v>1917</v>
      </c>
      <c r="D19">
        <f t="shared" si="1"/>
        <v>458.19</v>
      </c>
      <c r="E19">
        <f t="shared" si="2"/>
        <v>134.03809042746661</v>
      </c>
      <c r="F19">
        <f t="shared" si="3"/>
        <v>0</v>
      </c>
    </row>
    <row r="20" spans="1:6" x14ac:dyDescent="0.2">
      <c r="A20">
        <v>191801191812</v>
      </c>
      <c r="B20">
        <v>343.87</v>
      </c>
      <c r="C20">
        <f t="shared" si="0"/>
        <v>1918</v>
      </c>
      <c r="D20">
        <f t="shared" si="1"/>
        <v>343.87</v>
      </c>
      <c r="E20">
        <f t="shared" si="2"/>
        <v>100.59512026734095</v>
      </c>
      <c r="F20">
        <f t="shared" si="3"/>
        <v>0</v>
      </c>
    </row>
    <row r="21" spans="1:6" x14ac:dyDescent="0.2">
      <c r="A21">
        <v>191901191912</v>
      </c>
      <c r="B21">
        <v>327.44</v>
      </c>
      <c r="C21">
        <f t="shared" si="0"/>
        <v>1919</v>
      </c>
      <c r="D21">
        <f t="shared" si="1"/>
        <v>327.44</v>
      </c>
      <c r="E21">
        <f t="shared" si="2"/>
        <v>95.788717190618883</v>
      </c>
      <c r="F21">
        <f t="shared" si="3"/>
        <v>1</v>
      </c>
    </row>
    <row r="22" spans="1:6" x14ac:dyDescent="0.2">
      <c r="A22">
        <v>192001192012</v>
      </c>
      <c r="B22">
        <v>331.24</v>
      </c>
      <c r="C22">
        <f t="shared" si="0"/>
        <v>1920</v>
      </c>
      <c r="D22">
        <f t="shared" si="1"/>
        <v>331.24</v>
      </c>
      <c r="E22">
        <f t="shared" si="2"/>
        <v>96.900362454863782</v>
      </c>
      <c r="F22">
        <f t="shared" si="3"/>
        <v>2</v>
      </c>
    </row>
    <row r="23" spans="1:6" x14ac:dyDescent="0.2">
      <c r="A23">
        <v>192101192112</v>
      </c>
      <c r="B23">
        <v>364.78</v>
      </c>
      <c r="C23">
        <f t="shared" si="0"/>
        <v>1921</v>
      </c>
      <c r="D23">
        <f t="shared" si="1"/>
        <v>364.78</v>
      </c>
      <c r="E23">
        <f t="shared" si="2"/>
        <v>106.71209460296222</v>
      </c>
      <c r="F23">
        <f t="shared" si="3"/>
        <v>0</v>
      </c>
    </row>
    <row r="24" spans="1:6" x14ac:dyDescent="0.2">
      <c r="A24">
        <v>192201192212</v>
      </c>
      <c r="B24">
        <v>311</v>
      </c>
      <c r="C24">
        <f t="shared" si="0"/>
        <v>1922</v>
      </c>
      <c r="D24">
        <f t="shared" si="1"/>
        <v>311</v>
      </c>
      <c r="E24">
        <f t="shared" si="2"/>
        <v>90.979388731622507</v>
      </c>
      <c r="F24">
        <f t="shared" si="3"/>
        <v>1</v>
      </c>
    </row>
    <row r="25" spans="1:6" x14ac:dyDescent="0.2">
      <c r="A25">
        <v>192301192312</v>
      </c>
      <c r="B25">
        <v>361.13</v>
      </c>
      <c r="C25">
        <f t="shared" si="0"/>
        <v>1923</v>
      </c>
      <c r="D25">
        <f t="shared" si="1"/>
        <v>361.13</v>
      </c>
      <c r="E25">
        <f t="shared" si="2"/>
        <v>105.64433007283228</v>
      </c>
      <c r="F25">
        <f t="shared" si="3"/>
        <v>0</v>
      </c>
    </row>
    <row r="26" spans="1:6" x14ac:dyDescent="0.2">
      <c r="A26">
        <v>192401192412</v>
      </c>
      <c r="B26">
        <v>179.93</v>
      </c>
      <c r="C26">
        <f t="shared" si="0"/>
        <v>1924</v>
      </c>
      <c r="D26">
        <f t="shared" si="1"/>
        <v>179.93</v>
      </c>
      <c r="E26">
        <f t="shared" si="2"/>
        <v>52.636403261996264</v>
      </c>
      <c r="F26">
        <f t="shared" si="3"/>
        <v>1</v>
      </c>
    </row>
    <row r="27" spans="1:6" x14ac:dyDescent="0.2">
      <c r="A27">
        <v>192501192512</v>
      </c>
      <c r="B27">
        <v>333.5</v>
      </c>
      <c r="C27">
        <f t="shared" si="0"/>
        <v>1925</v>
      </c>
      <c r="D27">
        <f t="shared" si="1"/>
        <v>333.5</v>
      </c>
      <c r="E27">
        <f t="shared" si="2"/>
        <v>97.561498848862072</v>
      </c>
      <c r="F27">
        <f t="shared" si="3"/>
        <v>2</v>
      </c>
    </row>
    <row r="28" spans="1:6" x14ac:dyDescent="0.2">
      <c r="A28">
        <v>192601192612</v>
      </c>
      <c r="B28">
        <v>395.52</v>
      </c>
      <c r="C28">
        <f t="shared" si="0"/>
        <v>1926</v>
      </c>
      <c r="D28">
        <f t="shared" si="1"/>
        <v>395.52</v>
      </c>
      <c r="E28">
        <f t="shared" si="2"/>
        <v>115.70471971424865</v>
      </c>
      <c r="F28">
        <f t="shared" si="3"/>
        <v>0</v>
      </c>
    </row>
    <row r="29" spans="1:6" x14ac:dyDescent="0.2">
      <c r="A29">
        <v>192701192712</v>
      </c>
      <c r="B29">
        <v>374.84</v>
      </c>
      <c r="C29">
        <f t="shared" si="0"/>
        <v>1927</v>
      </c>
      <c r="D29">
        <f t="shared" si="1"/>
        <v>374.84</v>
      </c>
      <c r="E29">
        <f t="shared" si="2"/>
        <v>109.6550291709369</v>
      </c>
      <c r="F29">
        <f t="shared" si="3"/>
        <v>0</v>
      </c>
    </row>
    <row r="30" spans="1:6" x14ac:dyDescent="0.2">
      <c r="A30">
        <v>192801192812</v>
      </c>
      <c r="B30">
        <v>240.28</v>
      </c>
      <c r="C30">
        <f t="shared" si="0"/>
        <v>1928</v>
      </c>
      <c r="D30">
        <f t="shared" si="1"/>
        <v>240.28</v>
      </c>
      <c r="E30">
        <f t="shared" si="2"/>
        <v>70.291085287569956</v>
      </c>
      <c r="F30">
        <f t="shared" si="3"/>
        <v>1</v>
      </c>
    </row>
    <row r="31" spans="1:6" x14ac:dyDescent="0.2">
      <c r="A31">
        <v>192901192912</v>
      </c>
      <c r="B31">
        <v>277.23</v>
      </c>
      <c r="C31">
        <f t="shared" si="0"/>
        <v>1929</v>
      </c>
      <c r="D31">
        <f t="shared" si="1"/>
        <v>277.23</v>
      </c>
      <c r="E31">
        <f t="shared" si="2"/>
        <v>81.100372791214497</v>
      </c>
      <c r="F31">
        <f t="shared" si="3"/>
        <v>2</v>
      </c>
    </row>
    <row r="32" spans="1:6" x14ac:dyDescent="0.2">
      <c r="A32">
        <v>193001193012</v>
      </c>
      <c r="B32">
        <v>377.99</v>
      </c>
      <c r="C32">
        <f t="shared" si="0"/>
        <v>1930</v>
      </c>
      <c r="D32">
        <f t="shared" si="1"/>
        <v>377.99</v>
      </c>
      <c r="E32">
        <f t="shared" si="2"/>
        <v>110.57652458735046</v>
      </c>
      <c r="F32">
        <f t="shared" si="3"/>
        <v>0</v>
      </c>
    </row>
    <row r="33" spans="1:6" x14ac:dyDescent="0.2">
      <c r="A33">
        <v>193101193112</v>
      </c>
      <c r="B33">
        <v>364.76</v>
      </c>
      <c r="C33">
        <f t="shared" si="0"/>
        <v>1931</v>
      </c>
      <c r="D33">
        <f t="shared" si="1"/>
        <v>364.76</v>
      </c>
      <c r="E33">
        <f t="shared" si="2"/>
        <v>106.70624383841358</v>
      </c>
      <c r="F33">
        <f t="shared" si="3"/>
        <v>0</v>
      </c>
    </row>
    <row r="34" spans="1:6" x14ac:dyDescent="0.2">
      <c r="A34">
        <v>193201193212</v>
      </c>
      <c r="B34">
        <v>306.97000000000003</v>
      </c>
      <c r="C34">
        <f t="shared" si="0"/>
        <v>1932</v>
      </c>
      <c r="D34">
        <f t="shared" si="1"/>
        <v>306.97000000000003</v>
      </c>
      <c r="E34">
        <f t="shared" si="2"/>
        <v>89.800459675068041</v>
      </c>
      <c r="F34">
        <f t="shared" si="3"/>
        <v>1</v>
      </c>
    </row>
    <row r="35" spans="1:6" x14ac:dyDescent="0.2">
      <c r="A35">
        <v>193301193312</v>
      </c>
      <c r="B35">
        <v>289.35000000000002</v>
      </c>
      <c r="C35">
        <f t="shared" si="0"/>
        <v>1933</v>
      </c>
      <c r="D35">
        <f t="shared" si="1"/>
        <v>289.35000000000002</v>
      </c>
      <c r="E35">
        <f t="shared" si="2"/>
        <v>84.645936107700877</v>
      </c>
      <c r="F35">
        <f t="shared" si="3"/>
        <v>2</v>
      </c>
    </row>
    <row r="36" spans="1:6" x14ac:dyDescent="0.2">
      <c r="A36">
        <v>193401193412</v>
      </c>
      <c r="B36">
        <v>378.06</v>
      </c>
      <c r="C36">
        <f t="shared" si="0"/>
        <v>1934</v>
      </c>
      <c r="D36">
        <f t="shared" si="1"/>
        <v>378.06</v>
      </c>
      <c r="E36">
        <f t="shared" si="2"/>
        <v>110.59700226327077</v>
      </c>
      <c r="F36">
        <f t="shared" si="3"/>
        <v>0</v>
      </c>
    </row>
    <row r="37" spans="1:6" x14ac:dyDescent="0.2">
      <c r="A37">
        <v>193501193512</v>
      </c>
      <c r="B37">
        <v>256.83</v>
      </c>
      <c r="C37">
        <f t="shared" si="0"/>
        <v>1935</v>
      </c>
      <c r="D37">
        <f t="shared" si="1"/>
        <v>256.83</v>
      </c>
      <c r="E37">
        <f t="shared" si="2"/>
        <v>75.132592951583945</v>
      </c>
      <c r="F37">
        <f t="shared" si="3"/>
        <v>1</v>
      </c>
    </row>
    <row r="38" spans="1:6" x14ac:dyDescent="0.2">
      <c r="A38">
        <v>193601193612</v>
      </c>
      <c r="B38">
        <v>196.32</v>
      </c>
      <c r="C38">
        <f t="shared" si="0"/>
        <v>1936</v>
      </c>
      <c r="D38">
        <f t="shared" si="1"/>
        <v>196.32</v>
      </c>
      <c r="E38">
        <f t="shared" si="2"/>
        <v>57.43110480962099</v>
      </c>
      <c r="F38">
        <f t="shared" si="3"/>
        <v>2</v>
      </c>
    </row>
    <row r="39" spans="1:6" x14ac:dyDescent="0.2">
      <c r="A39">
        <v>193701193712</v>
      </c>
      <c r="B39">
        <v>285.14999999999998</v>
      </c>
      <c r="C39">
        <f t="shared" si="0"/>
        <v>1937</v>
      </c>
      <c r="D39">
        <f t="shared" si="1"/>
        <v>285.14999999999998</v>
      </c>
      <c r="E39">
        <f t="shared" si="2"/>
        <v>83.41727555248282</v>
      </c>
      <c r="F39">
        <f t="shared" si="3"/>
        <v>3</v>
      </c>
    </row>
    <row r="40" spans="1:6" x14ac:dyDescent="0.2">
      <c r="A40">
        <v>193801193812</v>
      </c>
      <c r="B40">
        <v>253.32</v>
      </c>
      <c r="C40">
        <f t="shared" si="0"/>
        <v>1938</v>
      </c>
      <c r="D40">
        <f t="shared" si="1"/>
        <v>253.32</v>
      </c>
      <c r="E40">
        <f t="shared" si="2"/>
        <v>74.105783773294576</v>
      </c>
      <c r="F40">
        <f t="shared" si="3"/>
        <v>4</v>
      </c>
    </row>
    <row r="41" spans="1:6" x14ac:dyDescent="0.2">
      <c r="A41">
        <v>193901193912</v>
      </c>
      <c r="B41">
        <v>342.4</v>
      </c>
      <c r="C41">
        <f t="shared" si="0"/>
        <v>1939</v>
      </c>
      <c r="D41">
        <f t="shared" si="1"/>
        <v>342.4</v>
      </c>
      <c r="E41">
        <f t="shared" si="2"/>
        <v>100.1650890730146</v>
      </c>
      <c r="F41">
        <f t="shared" si="3"/>
        <v>0</v>
      </c>
    </row>
    <row r="42" spans="1:6" x14ac:dyDescent="0.2">
      <c r="A42">
        <v>194001194012</v>
      </c>
      <c r="B42">
        <v>234.46</v>
      </c>
      <c r="C42">
        <f t="shared" si="0"/>
        <v>1940</v>
      </c>
      <c r="D42">
        <f t="shared" si="1"/>
        <v>234.46</v>
      </c>
      <c r="E42">
        <f t="shared" si="2"/>
        <v>68.588512803910646</v>
      </c>
      <c r="F42">
        <f t="shared" si="3"/>
        <v>1</v>
      </c>
    </row>
    <row r="43" spans="1:6" x14ac:dyDescent="0.2">
      <c r="A43">
        <v>194101194112</v>
      </c>
      <c r="B43">
        <v>328.1</v>
      </c>
      <c r="C43">
        <f t="shared" si="0"/>
        <v>1941</v>
      </c>
      <c r="D43">
        <f t="shared" si="1"/>
        <v>328.1</v>
      </c>
      <c r="E43">
        <f t="shared" si="2"/>
        <v>95.981792420724588</v>
      </c>
      <c r="F43">
        <f t="shared" si="3"/>
        <v>2</v>
      </c>
    </row>
    <row r="44" spans="1:6" x14ac:dyDescent="0.2">
      <c r="A44">
        <v>194201194212</v>
      </c>
      <c r="B44">
        <v>539.45000000000005</v>
      </c>
      <c r="C44">
        <f t="shared" si="0"/>
        <v>1942</v>
      </c>
      <c r="D44">
        <f t="shared" si="1"/>
        <v>539.45000000000005</v>
      </c>
      <c r="E44">
        <f t="shared" si="2"/>
        <v>157.80974678866161</v>
      </c>
      <c r="F44">
        <f t="shared" si="3"/>
        <v>0</v>
      </c>
    </row>
    <row r="45" spans="1:6" x14ac:dyDescent="0.2">
      <c r="A45">
        <v>194301194312</v>
      </c>
      <c r="B45">
        <v>324.18</v>
      </c>
      <c r="C45">
        <f t="shared" si="0"/>
        <v>1943</v>
      </c>
      <c r="D45">
        <f t="shared" si="1"/>
        <v>324.18</v>
      </c>
      <c r="E45">
        <f t="shared" si="2"/>
        <v>94.835042569187735</v>
      </c>
      <c r="F45">
        <f t="shared" si="3"/>
        <v>1</v>
      </c>
    </row>
    <row r="46" spans="1:6" x14ac:dyDescent="0.2">
      <c r="A46">
        <v>194401194412</v>
      </c>
      <c r="B46">
        <v>227.12</v>
      </c>
      <c r="C46">
        <f t="shared" si="0"/>
        <v>1944</v>
      </c>
      <c r="D46">
        <f t="shared" si="1"/>
        <v>227.12</v>
      </c>
      <c r="E46">
        <f t="shared" si="2"/>
        <v>66.441282214553382</v>
      </c>
      <c r="F46">
        <f t="shared" si="3"/>
        <v>2</v>
      </c>
    </row>
    <row r="47" spans="1:6" x14ac:dyDescent="0.2">
      <c r="A47">
        <v>194501194512</v>
      </c>
      <c r="B47">
        <v>304.25</v>
      </c>
      <c r="C47">
        <f t="shared" si="0"/>
        <v>1945</v>
      </c>
      <c r="D47">
        <f t="shared" si="1"/>
        <v>304.25</v>
      </c>
      <c r="E47">
        <f t="shared" si="2"/>
        <v>89.00475569645063</v>
      </c>
      <c r="F47">
        <f t="shared" si="3"/>
        <v>3</v>
      </c>
    </row>
    <row r="48" spans="1:6" x14ac:dyDescent="0.2">
      <c r="A48">
        <v>194601194612</v>
      </c>
      <c r="B48">
        <v>311.47000000000003</v>
      </c>
      <c r="C48">
        <f t="shared" si="0"/>
        <v>1946</v>
      </c>
      <c r="D48">
        <f t="shared" si="1"/>
        <v>311.47000000000003</v>
      </c>
      <c r="E48">
        <f t="shared" si="2"/>
        <v>91.116881698515968</v>
      </c>
      <c r="F48">
        <f t="shared" si="3"/>
        <v>4</v>
      </c>
    </row>
    <row r="49" spans="1:6" x14ac:dyDescent="0.2">
      <c r="A49">
        <v>194701194712</v>
      </c>
      <c r="B49">
        <v>398.16</v>
      </c>
      <c r="C49">
        <f t="shared" si="0"/>
        <v>1947</v>
      </c>
      <c r="D49">
        <f t="shared" si="1"/>
        <v>398.16</v>
      </c>
      <c r="E49">
        <f t="shared" si="2"/>
        <v>116.47702063467145</v>
      </c>
      <c r="F49">
        <f t="shared" si="3"/>
        <v>0</v>
      </c>
    </row>
    <row r="50" spans="1:6" x14ac:dyDescent="0.2">
      <c r="A50">
        <v>194801194812</v>
      </c>
      <c r="B50">
        <v>319.14</v>
      </c>
      <c r="C50">
        <f t="shared" si="0"/>
        <v>1948</v>
      </c>
      <c r="D50">
        <f t="shared" si="1"/>
        <v>319.14</v>
      </c>
      <c r="E50">
        <f t="shared" si="2"/>
        <v>93.360649902926056</v>
      </c>
      <c r="F50">
        <f t="shared" si="3"/>
        <v>1</v>
      </c>
    </row>
    <row r="51" spans="1:6" x14ac:dyDescent="0.2">
      <c r="A51">
        <v>194901194912</v>
      </c>
      <c r="B51">
        <v>311.76</v>
      </c>
      <c r="C51">
        <f t="shared" si="0"/>
        <v>1949</v>
      </c>
      <c r="D51">
        <f t="shared" si="1"/>
        <v>311.76</v>
      </c>
      <c r="E51">
        <f t="shared" si="2"/>
        <v>91.201717784471484</v>
      </c>
      <c r="F51">
        <f t="shared" si="3"/>
        <v>2</v>
      </c>
    </row>
    <row r="52" spans="1:6" x14ac:dyDescent="0.2">
      <c r="A52">
        <v>195001195012</v>
      </c>
      <c r="B52">
        <v>286.23</v>
      </c>
      <c r="C52">
        <f t="shared" si="0"/>
        <v>1950</v>
      </c>
      <c r="D52">
        <f t="shared" si="1"/>
        <v>286.23</v>
      </c>
      <c r="E52">
        <f t="shared" si="2"/>
        <v>83.733216838110323</v>
      </c>
      <c r="F52">
        <f t="shared" si="3"/>
        <v>3</v>
      </c>
    </row>
    <row r="53" spans="1:6" x14ac:dyDescent="0.2">
      <c r="A53">
        <v>195101195112</v>
      </c>
      <c r="B53">
        <v>284.97000000000003</v>
      </c>
      <c r="C53">
        <f t="shared" si="0"/>
        <v>1951</v>
      </c>
      <c r="D53">
        <f t="shared" si="1"/>
        <v>284.97000000000003</v>
      </c>
      <c r="E53">
        <f t="shared" si="2"/>
        <v>83.364618671544903</v>
      </c>
      <c r="F53">
        <f t="shared" si="3"/>
        <v>4</v>
      </c>
    </row>
    <row r="54" spans="1:6" x14ac:dyDescent="0.2">
      <c r="A54">
        <v>195201195212</v>
      </c>
      <c r="B54">
        <v>239.95</v>
      </c>
      <c r="C54">
        <f t="shared" si="0"/>
        <v>1952</v>
      </c>
      <c r="D54">
        <f t="shared" si="1"/>
        <v>239.95</v>
      </c>
      <c r="E54">
        <f t="shared" si="2"/>
        <v>70.194547672517103</v>
      </c>
      <c r="F54">
        <f t="shared" si="3"/>
        <v>5</v>
      </c>
    </row>
    <row r="55" spans="1:6" x14ac:dyDescent="0.2">
      <c r="A55">
        <v>195301195312</v>
      </c>
      <c r="B55">
        <v>289.27</v>
      </c>
      <c r="C55">
        <f t="shared" si="0"/>
        <v>1953</v>
      </c>
      <c r="D55">
        <f t="shared" si="1"/>
        <v>289.27</v>
      </c>
      <c r="E55">
        <f t="shared" si="2"/>
        <v>84.622533049506245</v>
      </c>
      <c r="F55">
        <f t="shared" si="3"/>
        <v>6</v>
      </c>
    </row>
    <row r="56" spans="1:6" x14ac:dyDescent="0.2">
      <c r="A56">
        <v>195401195412</v>
      </c>
      <c r="B56">
        <v>266.25</v>
      </c>
      <c r="C56">
        <f t="shared" si="0"/>
        <v>1954</v>
      </c>
      <c r="D56">
        <f t="shared" si="1"/>
        <v>266.25</v>
      </c>
      <c r="E56">
        <f t="shared" si="2"/>
        <v>77.888303054001582</v>
      </c>
      <c r="F56">
        <f t="shared" si="3"/>
        <v>7</v>
      </c>
    </row>
    <row r="57" spans="1:6" x14ac:dyDescent="0.2">
      <c r="A57">
        <v>195501195512</v>
      </c>
      <c r="B57">
        <v>430.9</v>
      </c>
      <c r="C57">
        <f t="shared" si="0"/>
        <v>1955</v>
      </c>
      <c r="D57">
        <f t="shared" si="1"/>
        <v>430.9</v>
      </c>
      <c r="E57">
        <f t="shared" si="2"/>
        <v>126.05472220082359</v>
      </c>
      <c r="F57">
        <f t="shared" si="3"/>
        <v>0</v>
      </c>
    </row>
    <row r="58" spans="1:6" x14ac:dyDescent="0.2">
      <c r="A58">
        <v>195601195612</v>
      </c>
      <c r="B58">
        <v>299.91000000000003</v>
      </c>
      <c r="C58">
        <f t="shared" si="0"/>
        <v>1956</v>
      </c>
      <c r="D58">
        <f t="shared" si="1"/>
        <v>299.91000000000003</v>
      </c>
      <c r="E58">
        <f t="shared" si="2"/>
        <v>87.73513978939198</v>
      </c>
      <c r="F58">
        <f t="shared" si="3"/>
        <v>1</v>
      </c>
    </row>
    <row r="59" spans="1:6" x14ac:dyDescent="0.2">
      <c r="A59">
        <v>195701195712</v>
      </c>
      <c r="B59">
        <v>281.70999999999998</v>
      </c>
      <c r="C59">
        <f t="shared" si="0"/>
        <v>1957</v>
      </c>
      <c r="D59">
        <f t="shared" si="1"/>
        <v>281.70999999999998</v>
      </c>
      <c r="E59">
        <f t="shared" si="2"/>
        <v>82.410944050113741</v>
      </c>
      <c r="F59">
        <f t="shared" si="3"/>
        <v>2</v>
      </c>
    </row>
    <row r="60" spans="1:6" x14ac:dyDescent="0.2">
      <c r="A60">
        <v>195801195812</v>
      </c>
      <c r="B60">
        <v>308.87</v>
      </c>
      <c r="C60">
        <f t="shared" si="0"/>
        <v>1958</v>
      </c>
      <c r="D60">
        <f t="shared" si="1"/>
        <v>308.87</v>
      </c>
      <c r="E60">
        <f t="shared" si="2"/>
        <v>90.356282307190497</v>
      </c>
      <c r="F60">
        <f t="shared" si="3"/>
        <v>3</v>
      </c>
    </row>
    <row r="61" spans="1:6" x14ac:dyDescent="0.2">
      <c r="A61">
        <v>195901195912</v>
      </c>
      <c r="B61">
        <v>256.38</v>
      </c>
      <c r="C61">
        <f t="shared" si="0"/>
        <v>1959</v>
      </c>
      <c r="D61">
        <f t="shared" si="1"/>
        <v>256.38</v>
      </c>
      <c r="E61">
        <f t="shared" si="2"/>
        <v>75.000950749239166</v>
      </c>
      <c r="F61">
        <f t="shared" si="3"/>
        <v>4</v>
      </c>
    </row>
    <row r="62" spans="1:6" x14ac:dyDescent="0.2">
      <c r="A62">
        <v>196001196012</v>
      </c>
      <c r="B62">
        <v>404.93</v>
      </c>
      <c r="C62">
        <f t="shared" si="0"/>
        <v>1960</v>
      </c>
      <c r="D62">
        <f t="shared" si="1"/>
        <v>404.93</v>
      </c>
      <c r="E62">
        <f t="shared" si="2"/>
        <v>118.45750443439196</v>
      </c>
      <c r="F62">
        <f t="shared" si="3"/>
        <v>0</v>
      </c>
    </row>
    <row r="63" spans="1:6" x14ac:dyDescent="0.2">
      <c r="A63">
        <v>196101196112</v>
      </c>
      <c r="B63">
        <v>267.48</v>
      </c>
      <c r="C63">
        <f t="shared" si="0"/>
        <v>1961</v>
      </c>
      <c r="D63">
        <f t="shared" si="1"/>
        <v>267.48</v>
      </c>
      <c r="E63">
        <f t="shared" si="2"/>
        <v>78.248125073744006</v>
      </c>
      <c r="F63">
        <f t="shared" si="3"/>
        <v>1</v>
      </c>
    </row>
    <row r="64" spans="1:6" x14ac:dyDescent="0.2">
      <c r="A64">
        <v>196201196212</v>
      </c>
      <c r="B64">
        <v>308.2</v>
      </c>
      <c r="C64">
        <f t="shared" si="0"/>
        <v>1962</v>
      </c>
      <c r="D64">
        <f t="shared" si="1"/>
        <v>308.2</v>
      </c>
      <c r="E64">
        <f t="shared" si="2"/>
        <v>90.160281694810465</v>
      </c>
      <c r="F64">
        <f t="shared" si="3"/>
        <v>2</v>
      </c>
    </row>
    <row r="65" spans="1:6" x14ac:dyDescent="0.2">
      <c r="A65">
        <v>196301196312</v>
      </c>
      <c r="B65">
        <v>426.85</v>
      </c>
      <c r="C65">
        <f t="shared" si="0"/>
        <v>1963</v>
      </c>
      <c r="D65">
        <f t="shared" si="1"/>
        <v>426.85</v>
      </c>
      <c r="E65">
        <f t="shared" si="2"/>
        <v>124.86994237972047</v>
      </c>
      <c r="F65">
        <f t="shared" si="3"/>
        <v>0</v>
      </c>
    </row>
    <row r="66" spans="1:6" x14ac:dyDescent="0.2">
      <c r="A66">
        <v>196401196412</v>
      </c>
      <c r="B66">
        <v>279.54000000000002</v>
      </c>
      <c r="C66">
        <f t="shared" si="0"/>
        <v>1964</v>
      </c>
      <c r="D66">
        <f t="shared" si="1"/>
        <v>279.54000000000002</v>
      </c>
      <c r="E66">
        <f t="shared" si="2"/>
        <v>81.776136096584423</v>
      </c>
      <c r="F66">
        <f t="shared" si="3"/>
        <v>1</v>
      </c>
    </row>
    <row r="67" spans="1:6" x14ac:dyDescent="0.2">
      <c r="A67">
        <v>196501196512</v>
      </c>
      <c r="B67">
        <v>299.82</v>
      </c>
      <c r="C67">
        <f t="shared" ref="C67:C127" si="4">INT(A67/100000000)</f>
        <v>1965</v>
      </c>
      <c r="D67">
        <f t="shared" ref="D67:D127" si="5">B67</f>
        <v>299.82</v>
      </c>
      <c r="E67">
        <f t="shared" ref="E67:E127" si="6">D67 / $G$2 * 100</f>
        <v>87.708811348923021</v>
      </c>
      <c r="F67">
        <f t="shared" si="3"/>
        <v>2</v>
      </c>
    </row>
    <row r="68" spans="1:6" x14ac:dyDescent="0.2">
      <c r="A68">
        <v>196601196612</v>
      </c>
      <c r="B68">
        <v>319.32</v>
      </c>
      <c r="C68">
        <f t="shared" si="4"/>
        <v>1966</v>
      </c>
      <c r="D68">
        <f t="shared" si="5"/>
        <v>319.32</v>
      </c>
      <c r="E68">
        <f t="shared" si="6"/>
        <v>93.413306783863987</v>
      </c>
      <c r="F68">
        <f t="shared" ref="F68:F127" si="7">IF(E68&lt;100, F67+1, 0)</f>
        <v>3</v>
      </c>
    </row>
    <row r="69" spans="1:6" x14ac:dyDescent="0.2">
      <c r="A69">
        <v>196701196712</v>
      </c>
      <c r="B69">
        <v>377.92</v>
      </c>
      <c r="C69">
        <f t="shared" si="4"/>
        <v>1967</v>
      </c>
      <c r="D69">
        <f t="shared" si="5"/>
        <v>377.92</v>
      </c>
      <c r="E69">
        <f t="shared" si="6"/>
        <v>110.55604691143014</v>
      </c>
      <c r="F69">
        <f t="shared" si="7"/>
        <v>0</v>
      </c>
    </row>
    <row r="70" spans="1:6" x14ac:dyDescent="0.2">
      <c r="A70">
        <v>196801196812</v>
      </c>
      <c r="B70">
        <v>461.25</v>
      </c>
      <c r="C70">
        <f t="shared" si="4"/>
        <v>1968</v>
      </c>
      <c r="D70">
        <f t="shared" si="5"/>
        <v>461.25</v>
      </c>
      <c r="E70">
        <f t="shared" si="6"/>
        <v>134.9332574034112</v>
      </c>
      <c r="F70">
        <f t="shared" si="7"/>
        <v>0</v>
      </c>
    </row>
    <row r="71" spans="1:6" x14ac:dyDescent="0.2">
      <c r="A71">
        <v>196901196912</v>
      </c>
      <c r="B71">
        <v>289.51</v>
      </c>
      <c r="C71">
        <f t="shared" si="4"/>
        <v>1969</v>
      </c>
      <c r="D71">
        <f t="shared" si="5"/>
        <v>289.51</v>
      </c>
      <c r="E71">
        <f t="shared" si="6"/>
        <v>84.692742224090139</v>
      </c>
      <c r="F71">
        <f t="shared" si="7"/>
        <v>1</v>
      </c>
    </row>
    <row r="72" spans="1:6" x14ac:dyDescent="0.2">
      <c r="A72">
        <v>197001197012</v>
      </c>
      <c r="B72">
        <v>258.10000000000002</v>
      </c>
      <c r="C72">
        <f t="shared" si="4"/>
        <v>1970</v>
      </c>
      <c r="D72">
        <f t="shared" si="5"/>
        <v>258.10000000000002</v>
      </c>
      <c r="E72">
        <f t="shared" si="6"/>
        <v>75.504116500423706</v>
      </c>
      <c r="F72">
        <f t="shared" si="7"/>
        <v>2</v>
      </c>
    </row>
    <row r="73" spans="1:6" x14ac:dyDescent="0.2">
      <c r="A73">
        <v>197101197112</v>
      </c>
      <c r="B73">
        <v>330.89</v>
      </c>
      <c r="C73">
        <f t="shared" si="4"/>
        <v>1971</v>
      </c>
      <c r="D73">
        <f t="shared" si="5"/>
        <v>330.89</v>
      </c>
      <c r="E73">
        <f t="shared" si="6"/>
        <v>96.797974075262289</v>
      </c>
      <c r="F73">
        <f t="shared" si="7"/>
        <v>3</v>
      </c>
    </row>
    <row r="74" spans="1:6" x14ac:dyDescent="0.2">
      <c r="A74">
        <v>197201197212</v>
      </c>
      <c r="B74">
        <v>204.43</v>
      </c>
      <c r="C74">
        <f t="shared" si="4"/>
        <v>1972</v>
      </c>
      <c r="D74">
        <f t="shared" si="5"/>
        <v>204.43</v>
      </c>
      <c r="E74">
        <f t="shared" si="6"/>
        <v>59.803589834101579</v>
      </c>
      <c r="F74">
        <f t="shared" si="7"/>
        <v>4</v>
      </c>
    </row>
    <row r="75" spans="1:6" x14ac:dyDescent="0.2">
      <c r="A75">
        <v>197301197312</v>
      </c>
      <c r="B75">
        <v>469.74</v>
      </c>
      <c r="C75">
        <f t="shared" si="4"/>
        <v>1973</v>
      </c>
      <c r="D75">
        <f t="shared" si="5"/>
        <v>469.74</v>
      </c>
      <c r="E75">
        <f t="shared" si="6"/>
        <v>137.41690695431626</v>
      </c>
      <c r="F75">
        <f t="shared" si="7"/>
        <v>0</v>
      </c>
    </row>
    <row r="76" spans="1:6" x14ac:dyDescent="0.2">
      <c r="A76">
        <v>197401197412</v>
      </c>
      <c r="B76">
        <v>528.26</v>
      </c>
      <c r="C76">
        <f t="shared" si="4"/>
        <v>1974</v>
      </c>
      <c r="D76">
        <f t="shared" si="5"/>
        <v>528.26</v>
      </c>
      <c r="E76">
        <f t="shared" si="6"/>
        <v>154.5362440236878</v>
      </c>
      <c r="F76">
        <f t="shared" si="7"/>
        <v>0</v>
      </c>
    </row>
    <row r="77" spans="1:6" x14ac:dyDescent="0.2">
      <c r="A77">
        <v>197501197512</v>
      </c>
      <c r="B77">
        <v>416.14</v>
      </c>
      <c r="C77">
        <f t="shared" si="4"/>
        <v>1975</v>
      </c>
      <c r="D77">
        <f t="shared" si="5"/>
        <v>416.14</v>
      </c>
      <c r="E77">
        <f t="shared" si="6"/>
        <v>121.73685796391442</v>
      </c>
      <c r="F77">
        <f t="shared" si="7"/>
        <v>0</v>
      </c>
    </row>
    <row r="78" spans="1:6" x14ac:dyDescent="0.2">
      <c r="A78">
        <v>197601197612</v>
      </c>
      <c r="B78">
        <v>266.36</v>
      </c>
      <c r="C78">
        <f t="shared" si="4"/>
        <v>1976</v>
      </c>
      <c r="D78">
        <f t="shared" si="5"/>
        <v>266.36</v>
      </c>
      <c r="E78">
        <f t="shared" si="6"/>
        <v>77.920482259019195</v>
      </c>
      <c r="F78">
        <f t="shared" si="7"/>
        <v>1</v>
      </c>
    </row>
    <row r="79" spans="1:6" x14ac:dyDescent="0.2">
      <c r="A79">
        <v>197701197712</v>
      </c>
      <c r="B79">
        <v>252.37</v>
      </c>
      <c r="C79">
        <f t="shared" si="4"/>
        <v>1977</v>
      </c>
      <c r="D79">
        <f t="shared" si="5"/>
        <v>252.37</v>
      </c>
      <c r="E79">
        <f t="shared" si="6"/>
        <v>73.82787245723334</v>
      </c>
      <c r="F79">
        <f t="shared" si="7"/>
        <v>2</v>
      </c>
    </row>
    <row r="80" spans="1:6" x14ac:dyDescent="0.2">
      <c r="A80">
        <v>197801197812</v>
      </c>
      <c r="B80">
        <v>412.19</v>
      </c>
      <c r="C80">
        <f t="shared" si="4"/>
        <v>1978</v>
      </c>
      <c r="D80">
        <f t="shared" si="5"/>
        <v>412.19</v>
      </c>
      <c r="E80">
        <f t="shared" si="6"/>
        <v>120.58133196555461</v>
      </c>
      <c r="F80">
        <f t="shared" si="7"/>
        <v>0</v>
      </c>
    </row>
    <row r="81" spans="1:6" x14ac:dyDescent="0.2">
      <c r="A81">
        <v>197901197912</v>
      </c>
      <c r="B81">
        <v>296.37</v>
      </c>
      <c r="C81">
        <f t="shared" si="4"/>
        <v>1979</v>
      </c>
      <c r="D81">
        <f t="shared" si="5"/>
        <v>296.37</v>
      </c>
      <c r="E81">
        <f t="shared" si="6"/>
        <v>86.699554464279615</v>
      </c>
      <c r="F81">
        <f t="shared" si="7"/>
        <v>1</v>
      </c>
    </row>
    <row r="82" spans="1:6" x14ac:dyDescent="0.2">
      <c r="A82">
        <v>198001198012</v>
      </c>
      <c r="B82">
        <v>404.53</v>
      </c>
      <c r="C82">
        <f t="shared" si="4"/>
        <v>1980</v>
      </c>
      <c r="D82">
        <f t="shared" si="5"/>
        <v>404.53</v>
      </c>
      <c r="E82">
        <f t="shared" si="6"/>
        <v>118.34048914341881</v>
      </c>
      <c r="F82">
        <f t="shared" si="7"/>
        <v>0</v>
      </c>
    </row>
    <row r="83" spans="1:6" x14ac:dyDescent="0.2">
      <c r="A83">
        <v>198101198112</v>
      </c>
      <c r="B83">
        <v>347.07</v>
      </c>
      <c r="C83">
        <f t="shared" si="4"/>
        <v>1981</v>
      </c>
      <c r="D83">
        <f t="shared" si="5"/>
        <v>347.07</v>
      </c>
      <c r="E83">
        <f t="shared" si="6"/>
        <v>101.53124259512612</v>
      </c>
      <c r="F83">
        <f t="shared" si="7"/>
        <v>0</v>
      </c>
    </row>
    <row r="84" spans="1:6" x14ac:dyDescent="0.2">
      <c r="A84">
        <v>198201198212</v>
      </c>
      <c r="B84">
        <v>435.73</v>
      </c>
      <c r="C84">
        <f t="shared" si="4"/>
        <v>1982</v>
      </c>
      <c r="D84">
        <f t="shared" si="5"/>
        <v>435.73</v>
      </c>
      <c r="E84">
        <f t="shared" si="6"/>
        <v>127.46768183932436</v>
      </c>
      <c r="F84">
        <f t="shared" si="7"/>
        <v>0</v>
      </c>
    </row>
    <row r="85" spans="1:6" x14ac:dyDescent="0.2">
      <c r="A85">
        <v>198301198312</v>
      </c>
      <c r="B85">
        <v>362.39</v>
      </c>
      <c r="C85">
        <f t="shared" si="4"/>
        <v>1983</v>
      </c>
      <c r="D85">
        <f t="shared" si="5"/>
        <v>362.39</v>
      </c>
      <c r="E85">
        <f t="shared" si="6"/>
        <v>106.01292823939768</v>
      </c>
      <c r="F85">
        <f t="shared" si="7"/>
        <v>0</v>
      </c>
    </row>
    <row r="86" spans="1:6" x14ac:dyDescent="0.2">
      <c r="A86">
        <v>198401198412</v>
      </c>
      <c r="B86">
        <v>409.26</v>
      </c>
      <c r="C86">
        <f t="shared" si="4"/>
        <v>1984</v>
      </c>
      <c r="D86">
        <f t="shared" si="5"/>
        <v>409.26</v>
      </c>
      <c r="E86">
        <f t="shared" si="6"/>
        <v>119.72419495917627</v>
      </c>
      <c r="F86">
        <f t="shared" si="7"/>
        <v>0</v>
      </c>
    </row>
    <row r="87" spans="1:6" x14ac:dyDescent="0.2">
      <c r="A87">
        <v>198501198512</v>
      </c>
      <c r="B87">
        <v>258.87</v>
      </c>
      <c r="C87">
        <f t="shared" si="4"/>
        <v>1985</v>
      </c>
      <c r="D87">
        <f t="shared" si="5"/>
        <v>258.87</v>
      </c>
      <c r="E87">
        <f t="shared" si="6"/>
        <v>75.729370935546996</v>
      </c>
      <c r="F87">
        <f t="shared" si="7"/>
        <v>1</v>
      </c>
    </row>
    <row r="88" spans="1:6" x14ac:dyDescent="0.2">
      <c r="A88">
        <v>198601198612</v>
      </c>
      <c r="B88">
        <v>310.57</v>
      </c>
      <c r="C88">
        <f t="shared" si="4"/>
        <v>1986</v>
      </c>
      <c r="D88">
        <f t="shared" si="5"/>
        <v>310.57</v>
      </c>
      <c r="E88">
        <f t="shared" si="6"/>
        <v>90.853597293826368</v>
      </c>
      <c r="F88">
        <f t="shared" si="7"/>
        <v>2</v>
      </c>
    </row>
    <row r="89" spans="1:6" x14ac:dyDescent="0.2">
      <c r="A89">
        <v>198701198712</v>
      </c>
      <c r="B89">
        <v>336.49</v>
      </c>
      <c r="C89">
        <f t="shared" si="4"/>
        <v>1987</v>
      </c>
      <c r="D89">
        <f t="shared" si="5"/>
        <v>336.49</v>
      </c>
      <c r="E89">
        <f t="shared" si="6"/>
        <v>98.436188148886359</v>
      </c>
      <c r="F89">
        <f t="shared" si="7"/>
        <v>3</v>
      </c>
    </row>
    <row r="90" spans="1:6" x14ac:dyDescent="0.2">
      <c r="A90">
        <v>198801198812</v>
      </c>
      <c r="B90">
        <v>345.64</v>
      </c>
      <c r="C90">
        <f t="shared" si="4"/>
        <v>1988</v>
      </c>
      <c r="D90">
        <f t="shared" si="5"/>
        <v>345.64</v>
      </c>
      <c r="E90">
        <f t="shared" si="6"/>
        <v>101.11291292989711</v>
      </c>
      <c r="F90">
        <f t="shared" si="7"/>
        <v>0</v>
      </c>
    </row>
    <row r="91" spans="1:6" x14ac:dyDescent="0.2">
      <c r="A91">
        <v>198901198912</v>
      </c>
      <c r="B91">
        <v>302.29000000000002</v>
      </c>
      <c r="C91">
        <f t="shared" si="4"/>
        <v>1989</v>
      </c>
      <c r="D91">
        <f t="shared" si="5"/>
        <v>302.29000000000002</v>
      </c>
      <c r="E91">
        <f t="shared" si="6"/>
        <v>88.43138077068221</v>
      </c>
      <c r="F91">
        <f t="shared" si="7"/>
        <v>1</v>
      </c>
    </row>
    <row r="92" spans="1:6" x14ac:dyDescent="0.2">
      <c r="A92">
        <v>199001199012</v>
      </c>
      <c r="B92">
        <v>277.49</v>
      </c>
      <c r="C92">
        <f t="shared" si="4"/>
        <v>1990</v>
      </c>
      <c r="D92">
        <f t="shared" si="5"/>
        <v>277.49</v>
      </c>
      <c r="E92">
        <f t="shared" si="6"/>
        <v>81.176432730347031</v>
      </c>
      <c r="F92">
        <f t="shared" si="7"/>
        <v>2</v>
      </c>
    </row>
    <row r="93" spans="1:6" x14ac:dyDescent="0.2">
      <c r="A93">
        <v>199101199112</v>
      </c>
      <c r="B93">
        <v>305.39</v>
      </c>
      <c r="C93">
        <f t="shared" si="4"/>
        <v>1991</v>
      </c>
      <c r="D93">
        <f t="shared" si="5"/>
        <v>305.39</v>
      </c>
      <c r="E93">
        <f t="shared" si="6"/>
        <v>89.338249275724095</v>
      </c>
      <c r="F93">
        <f t="shared" si="7"/>
        <v>3</v>
      </c>
    </row>
    <row r="94" spans="1:6" x14ac:dyDescent="0.2">
      <c r="A94">
        <v>199201199212</v>
      </c>
      <c r="B94">
        <v>362.26</v>
      </c>
      <c r="C94">
        <f t="shared" si="4"/>
        <v>1992</v>
      </c>
      <c r="D94">
        <f t="shared" si="5"/>
        <v>362.26</v>
      </c>
      <c r="E94">
        <f t="shared" si="6"/>
        <v>105.9748982698314</v>
      </c>
      <c r="F94">
        <f t="shared" si="7"/>
        <v>0</v>
      </c>
    </row>
    <row r="95" spans="1:6" x14ac:dyDescent="0.2">
      <c r="A95">
        <v>199301199312</v>
      </c>
      <c r="B95">
        <v>401.3</v>
      </c>
      <c r="C95">
        <f t="shared" si="4"/>
        <v>1993</v>
      </c>
      <c r="D95">
        <f t="shared" si="5"/>
        <v>401.3</v>
      </c>
      <c r="E95">
        <f t="shared" si="6"/>
        <v>117.39559066881064</v>
      </c>
      <c r="F95">
        <f t="shared" si="7"/>
        <v>0</v>
      </c>
    </row>
    <row r="96" spans="1:6" x14ac:dyDescent="0.2">
      <c r="A96">
        <v>199401199412</v>
      </c>
      <c r="B96">
        <v>267.11</v>
      </c>
      <c r="C96">
        <f t="shared" si="4"/>
        <v>1994</v>
      </c>
      <c r="D96">
        <f t="shared" si="5"/>
        <v>267.11</v>
      </c>
      <c r="E96">
        <f t="shared" si="6"/>
        <v>78.139885929593859</v>
      </c>
      <c r="F96">
        <f t="shared" si="7"/>
        <v>1</v>
      </c>
    </row>
    <row r="97" spans="1:6" x14ac:dyDescent="0.2">
      <c r="A97">
        <v>199501199512</v>
      </c>
      <c r="B97">
        <v>482.84</v>
      </c>
      <c r="C97">
        <f t="shared" si="4"/>
        <v>1995</v>
      </c>
      <c r="D97">
        <f t="shared" si="5"/>
        <v>482.84</v>
      </c>
      <c r="E97">
        <f t="shared" si="6"/>
        <v>141.24915773368684</v>
      </c>
      <c r="F97">
        <f t="shared" si="7"/>
        <v>0</v>
      </c>
    </row>
    <row r="98" spans="1:6" x14ac:dyDescent="0.2">
      <c r="A98">
        <v>199601199612</v>
      </c>
      <c r="B98">
        <v>369.41</v>
      </c>
      <c r="C98">
        <f t="shared" si="4"/>
        <v>1996</v>
      </c>
      <c r="D98">
        <f t="shared" si="5"/>
        <v>369.41</v>
      </c>
      <c r="E98">
        <f t="shared" si="6"/>
        <v>108.06654659597643</v>
      </c>
      <c r="F98">
        <f t="shared" si="7"/>
        <v>0</v>
      </c>
    </row>
    <row r="99" spans="1:6" x14ac:dyDescent="0.2">
      <c r="A99">
        <v>199701199712</v>
      </c>
      <c r="B99">
        <v>448.38</v>
      </c>
      <c r="C99">
        <f t="shared" si="4"/>
        <v>1997</v>
      </c>
      <c r="D99">
        <f t="shared" si="5"/>
        <v>448.38</v>
      </c>
      <c r="E99">
        <f t="shared" si="6"/>
        <v>131.16829041635017</v>
      </c>
      <c r="F99">
        <f t="shared" si="7"/>
        <v>0</v>
      </c>
    </row>
    <row r="100" spans="1:6" x14ac:dyDescent="0.2">
      <c r="A100">
        <v>199801199812</v>
      </c>
      <c r="B100">
        <v>445.11</v>
      </c>
      <c r="C100">
        <f t="shared" si="4"/>
        <v>1998</v>
      </c>
      <c r="D100">
        <f t="shared" si="5"/>
        <v>445.11</v>
      </c>
      <c r="E100">
        <f t="shared" si="6"/>
        <v>130.21169041264466</v>
      </c>
      <c r="F100">
        <f t="shared" si="7"/>
        <v>0</v>
      </c>
    </row>
    <row r="101" spans="1:6" x14ac:dyDescent="0.2">
      <c r="A101">
        <v>199901199912</v>
      </c>
      <c r="B101">
        <v>516.66</v>
      </c>
      <c r="C101">
        <f t="shared" si="4"/>
        <v>1999</v>
      </c>
      <c r="D101">
        <f t="shared" si="5"/>
        <v>516.66</v>
      </c>
      <c r="E101">
        <f t="shared" si="6"/>
        <v>151.14280058546649</v>
      </c>
      <c r="F101">
        <f t="shared" si="7"/>
        <v>0</v>
      </c>
    </row>
    <row r="102" spans="1:6" x14ac:dyDescent="0.2">
      <c r="A102">
        <v>200001200012</v>
      </c>
      <c r="B102">
        <v>616.86</v>
      </c>
      <c r="C102">
        <f t="shared" si="4"/>
        <v>2000</v>
      </c>
      <c r="D102">
        <f t="shared" si="5"/>
        <v>616.86</v>
      </c>
      <c r="E102">
        <f t="shared" si="6"/>
        <v>180.45513097424006</v>
      </c>
      <c r="F102">
        <f t="shared" si="7"/>
        <v>0</v>
      </c>
    </row>
    <row r="103" spans="1:6" x14ac:dyDescent="0.2">
      <c r="A103">
        <v>200101200112</v>
      </c>
      <c r="B103">
        <v>486.33</v>
      </c>
      <c r="C103">
        <f t="shared" si="4"/>
        <v>2001</v>
      </c>
      <c r="D103">
        <f t="shared" si="5"/>
        <v>486.33</v>
      </c>
      <c r="E103">
        <f t="shared" si="6"/>
        <v>142.27011614742756</v>
      </c>
      <c r="F103">
        <f t="shared" si="7"/>
        <v>0</v>
      </c>
    </row>
    <row r="104" spans="1:6" x14ac:dyDescent="0.2">
      <c r="A104">
        <v>200201200212</v>
      </c>
      <c r="B104">
        <v>310.37</v>
      </c>
      <c r="C104">
        <f t="shared" si="4"/>
        <v>2002</v>
      </c>
      <c r="D104">
        <f t="shared" si="5"/>
        <v>310.37</v>
      </c>
      <c r="E104">
        <f t="shared" si="6"/>
        <v>90.795089648339797</v>
      </c>
      <c r="F104">
        <f t="shared" si="7"/>
        <v>1</v>
      </c>
    </row>
    <row r="105" spans="1:6" x14ac:dyDescent="0.2">
      <c r="A105">
        <v>200301200312</v>
      </c>
      <c r="B105">
        <v>372.2</v>
      </c>
      <c r="C105">
        <f t="shared" si="4"/>
        <v>2003</v>
      </c>
      <c r="D105">
        <f t="shared" si="5"/>
        <v>372.2</v>
      </c>
      <c r="E105">
        <f t="shared" si="6"/>
        <v>108.88272825051413</v>
      </c>
      <c r="F105">
        <f t="shared" si="7"/>
        <v>0</v>
      </c>
    </row>
    <row r="106" spans="1:6" x14ac:dyDescent="0.2">
      <c r="A106">
        <v>200401200412</v>
      </c>
      <c r="B106">
        <v>425.73</v>
      </c>
      <c r="C106">
        <f t="shared" si="4"/>
        <v>2004</v>
      </c>
      <c r="D106">
        <f t="shared" si="5"/>
        <v>425.73</v>
      </c>
      <c r="E106">
        <f t="shared" si="6"/>
        <v>124.54229956499564</v>
      </c>
      <c r="F106">
        <f t="shared" si="7"/>
        <v>0</v>
      </c>
    </row>
    <row r="107" spans="1:6" x14ac:dyDescent="0.2">
      <c r="A107">
        <v>200501200512</v>
      </c>
      <c r="B107">
        <v>297.26</v>
      </c>
      <c r="C107">
        <f t="shared" si="4"/>
        <v>2005</v>
      </c>
      <c r="D107">
        <f t="shared" si="5"/>
        <v>297.26</v>
      </c>
      <c r="E107">
        <f t="shared" si="6"/>
        <v>86.959913486694873</v>
      </c>
      <c r="F107">
        <f t="shared" si="7"/>
        <v>1</v>
      </c>
    </row>
    <row r="108" spans="1:6" x14ac:dyDescent="0.2">
      <c r="A108">
        <v>200601200612</v>
      </c>
      <c r="B108">
        <v>470.31</v>
      </c>
      <c r="C108">
        <f t="shared" si="4"/>
        <v>2006</v>
      </c>
      <c r="D108">
        <f t="shared" si="5"/>
        <v>470.31</v>
      </c>
      <c r="E108">
        <f t="shared" si="6"/>
        <v>137.58365374395299</v>
      </c>
      <c r="F108">
        <f t="shared" si="7"/>
        <v>0</v>
      </c>
    </row>
    <row r="109" spans="1:6" x14ac:dyDescent="0.2">
      <c r="A109">
        <v>200701200712</v>
      </c>
      <c r="B109">
        <v>370.07</v>
      </c>
      <c r="C109">
        <f t="shared" si="4"/>
        <v>2007</v>
      </c>
      <c r="D109">
        <f t="shared" si="5"/>
        <v>370.07</v>
      </c>
      <c r="E109">
        <f t="shared" si="6"/>
        <v>108.25962182608212</v>
      </c>
      <c r="F109">
        <f t="shared" si="7"/>
        <v>0</v>
      </c>
    </row>
    <row r="110" spans="1:6" x14ac:dyDescent="0.2">
      <c r="A110">
        <v>200801200812</v>
      </c>
      <c r="B110">
        <v>385.34</v>
      </c>
      <c r="C110">
        <f t="shared" si="4"/>
        <v>2008</v>
      </c>
      <c r="D110">
        <f t="shared" si="5"/>
        <v>385.34</v>
      </c>
      <c r="E110">
        <f t="shared" si="6"/>
        <v>112.72668055898203</v>
      </c>
      <c r="F110">
        <f t="shared" si="7"/>
        <v>0</v>
      </c>
    </row>
    <row r="111" spans="1:6" x14ac:dyDescent="0.2">
      <c r="A111">
        <v>200901200912</v>
      </c>
      <c r="B111">
        <v>324.26</v>
      </c>
      <c r="C111">
        <f t="shared" si="4"/>
        <v>2009</v>
      </c>
      <c r="D111">
        <f t="shared" si="5"/>
        <v>324.26</v>
      </c>
      <c r="E111">
        <f t="shared" si="6"/>
        <v>94.858445627382366</v>
      </c>
      <c r="F111">
        <f t="shared" si="7"/>
        <v>1</v>
      </c>
    </row>
    <row r="112" spans="1:6" x14ac:dyDescent="0.2">
      <c r="A112">
        <v>201001201012</v>
      </c>
      <c r="B112">
        <v>333.1</v>
      </c>
      <c r="C112">
        <f t="shared" si="4"/>
        <v>2010</v>
      </c>
      <c r="D112">
        <f t="shared" si="5"/>
        <v>333.1</v>
      </c>
      <c r="E112">
        <f t="shared" si="6"/>
        <v>97.44448355788893</v>
      </c>
      <c r="F112">
        <f t="shared" si="7"/>
        <v>2</v>
      </c>
    </row>
    <row r="113" spans="1:6" x14ac:dyDescent="0.2">
      <c r="A113">
        <v>201101201112</v>
      </c>
      <c r="B113">
        <v>596.12</v>
      </c>
      <c r="C113">
        <f t="shared" si="4"/>
        <v>2011</v>
      </c>
      <c r="D113">
        <f t="shared" si="5"/>
        <v>596.12</v>
      </c>
      <c r="E113">
        <f t="shared" si="6"/>
        <v>174.38788813728235</v>
      </c>
      <c r="F113">
        <f t="shared" si="7"/>
        <v>0</v>
      </c>
    </row>
    <row r="114" spans="1:6" x14ac:dyDescent="0.2">
      <c r="A114">
        <v>201201201212</v>
      </c>
      <c r="B114">
        <v>383.7</v>
      </c>
      <c r="C114">
        <f t="shared" si="4"/>
        <v>2012</v>
      </c>
      <c r="D114">
        <f t="shared" si="5"/>
        <v>383.7</v>
      </c>
      <c r="E114">
        <f t="shared" si="6"/>
        <v>112.24691786599212</v>
      </c>
      <c r="F114">
        <f t="shared" si="7"/>
        <v>0</v>
      </c>
    </row>
    <row r="115" spans="1:6" x14ac:dyDescent="0.2">
      <c r="A115">
        <v>201301201312</v>
      </c>
      <c r="B115">
        <v>402.05</v>
      </c>
      <c r="C115">
        <f t="shared" si="4"/>
        <v>2013</v>
      </c>
      <c r="D115">
        <f t="shared" si="5"/>
        <v>402.05</v>
      </c>
      <c r="E115">
        <f t="shared" si="6"/>
        <v>117.61499433938529</v>
      </c>
      <c r="F115">
        <f t="shared" si="7"/>
        <v>0</v>
      </c>
    </row>
    <row r="116" spans="1:6" x14ac:dyDescent="0.2">
      <c r="A116">
        <v>201401201412</v>
      </c>
      <c r="B116">
        <v>400.85</v>
      </c>
      <c r="C116">
        <f t="shared" si="4"/>
        <v>2014</v>
      </c>
      <c r="D116">
        <f t="shared" si="5"/>
        <v>400.85</v>
      </c>
      <c r="E116">
        <f t="shared" si="6"/>
        <v>117.26394846646586</v>
      </c>
      <c r="F116">
        <f t="shared" si="7"/>
        <v>0</v>
      </c>
    </row>
    <row r="117" spans="1:6" x14ac:dyDescent="0.2">
      <c r="A117">
        <v>201501201512</v>
      </c>
      <c r="B117">
        <v>352.72</v>
      </c>
      <c r="C117">
        <f t="shared" si="4"/>
        <v>2015</v>
      </c>
      <c r="D117">
        <f t="shared" si="5"/>
        <v>352.72</v>
      </c>
      <c r="E117">
        <f t="shared" si="6"/>
        <v>103.18408358012184</v>
      </c>
      <c r="F117">
        <f t="shared" si="7"/>
        <v>0</v>
      </c>
    </row>
    <row r="118" spans="1:6" x14ac:dyDescent="0.2">
      <c r="A118">
        <v>201601201612</v>
      </c>
      <c r="B118">
        <v>411.14</v>
      </c>
      <c r="C118">
        <f t="shared" si="4"/>
        <v>2016</v>
      </c>
      <c r="D118">
        <f t="shared" si="5"/>
        <v>411.14</v>
      </c>
      <c r="E118">
        <f t="shared" si="6"/>
        <v>120.27416682675008</v>
      </c>
      <c r="F118">
        <f t="shared" si="7"/>
        <v>0</v>
      </c>
    </row>
    <row r="119" spans="1:6" x14ac:dyDescent="0.2">
      <c r="A119">
        <v>201701201712</v>
      </c>
      <c r="B119">
        <v>472.55</v>
      </c>
      <c r="C119">
        <f t="shared" si="4"/>
        <v>2017</v>
      </c>
      <c r="D119">
        <f t="shared" si="5"/>
        <v>472.55</v>
      </c>
      <c r="E119">
        <f t="shared" si="6"/>
        <v>138.23893937340262</v>
      </c>
      <c r="F119">
        <f t="shared" si="7"/>
        <v>0</v>
      </c>
    </row>
    <row r="120" spans="1:6" x14ac:dyDescent="0.2">
      <c r="A120">
        <v>201801201812</v>
      </c>
      <c r="B120">
        <v>370.85</v>
      </c>
      <c r="C120">
        <f t="shared" si="4"/>
        <v>2018</v>
      </c>
      <c r="D120">
        <f t="shared" si="5"/>
        <v>370.85</v>
      </c>
      <c r="E120">
        <f t="shared" si="6"/>
        <v>108.48780164347977</v>
      </c>
      <c r="F120">
        <f t="shared" si="7"/>
        <v>0</v>
      </c>
    </row>
    <row r="121" spans="1:6" x14ac:dyDescent="0.2">
      <c r="A121">
        <v>201901201912</v>
      </c>
      <c r="B121">
        <v>177.54</v>
      </c>
      <c r="C121">
        <f t="shared" si="4"/>
        <v>2019</v>
      </c>
      <c r="D121">
        <f t="shared" si="5"/>
        <v>177.54</v>
      </c>
      <c r="E121">
        <f t="shared" si="6"/>
        <v>51.937236898431706</v>
      </c>
      <c r="F121">
        <f t="shared" si="7"/>
        <v>1</v>
      </c>
    </row>
    <row r="122" spans="1:6" x14ac:dyDescent="0.2">
      <c r="A122">
        <v>202001202012</v>
      </c>
      <c r="B122">
        <v>373.86</v>
      </c>
      <c r="C122">
        <f t="shared" si="4"/>
        <v>2020</v>
      </c>
      <c r="D122">
        <f t="shared" si="5"/>
        <v>373.86</v>
      </c>
      <c r="E122">
        <f t="shared" si="6"/>
        <v>109.3683417080527</v>
      </c>
      <c r="F122">
        <f t="shared" si="7"/>
        <v>0</v>
      </c>
    </row>
    <row r="123" spans="1:6" x14ac:dyDescent="0.2">
      <c r="A123">
        <v>202101202112</v>
      </c>
      <c r="B123">
        <v>366.82</v>
      </c>
      <c r="C123">
        <f t="shared" si="4"/>
        <v>2021</v>
      </c>
      <c r="D123">
        <f t="shared" si="5"/>
        <v>366.82</v>
      </c>
      <c r="E123">
        <f t="shared" si="6"/>
        <v>107.3088725869253</v>
      </c>
      <c r="F123">
        <f t="shared" si="7"/>
        <v>0</v>
      </c>
    </row>
    <row r="124" spans="1:6" x14ac:dyDescent="0.2">
      <c r="A124">
        <v>202201202212</v>
      </c>
      <c r="B124">
        <v>418.12</v>
      </c>
      <c r="C124">
        <f t="shared" si="4"/>
        <v>2022</v>
      </c>
      <c r="D124">
        <f t="shared" si="5"/>
        <v>418.12</v>
      </c>
      <c r="E124">
        <f t="shared" si="6"/>
        <v>122.31608365423152</v>
      </c>
      <c r="F124">
        <f t="shared" si="7"/>
        <v>0</v>
      </c>
    </row>
    <row r="125" spans="1:6" x14ac:dyDescent="0.2">
      <c r="A125">
        <v>202301202312</v>
      </c>
      <c r="B125">
        <v>330.4</v>
      </c>
      <c r="C125">
        <f t="shared" si="4"/>
        <v>2023</v>
      </c>
      <c r="D125">
        <f t="shared" si="5"/>
        <v>330.4</v>
      </c>
      <c r="E125">
        <f t="shared" si="6"/>
        <v>96.654630343820173</v>
      </c>
      <c r="F125">
        <f t="shared" si="7"/>
        <v>1</v>
      </c>
    </row>
    <row r="126" spans="1:6" x14ac:dyDescent="0.2">
      <c r="A126">
        <v>202401202412</v>
      </c>
      <c r="B126">
        <v>473.72</v>
      </c>
      <c r="C126">
        <f t="shared" si="4"/>
        <v>2024</v>
      </c>
      <c r="D126">
        <f t="shared" si="5"/>
        <v>473.72</v>
      </c>
      <c r="E126">
        <f t="shared" si="6"/>
        <v>138.58120909949909</v>
      </c>
      <c r="F126">
        <f t="shared" si="7"/>
        <v>0</v>
      </c>
    </row>
    <row r="127" spans="1:6" x14ac:dyDescent="0.2">
      <c r="A127">
        <v>202501202512</v>
      </c>
      <c r="B127">
        <v>346.01</v>
      </c>
      <c r="C127">
        <f t="shared" si="4"/>
        <v>2025</v>
      </c>
      <c r="D127">
        <f t="shared" si="5"/>
        <v>346.01</v>
      </c>
      <c r="E127">
        <f t="shared" si="6"/>
        <v>101.22115207404727</v>
      </c>
      <c r="F127">
        <f t="shared" si="7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13CF-4163-DF4C-BF0F-48595208ED6E}">
  <dimension ref="A1:H127"/>
  <sheetViews>
    <sheetView workbookViewId="0">
      <selection activeCell="G17" sqref="G17"/>
    </sheetView>
  </sheetViews>
  <sheetFormatPr baseColWidth="10" defaultRowHeight="16" x14ac:dyDescent="0.2"/>
  <cols>
    <col min="1" max="1" width="12.1640625" bestFit="1" customWidth="1"/>
    <col min="2" max="2" width="8.1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1140.1600000000001</v>
      </c>
      <c r="C2">
        <f>INT(A2/100000000)</f>
        <v>1900</v>
      </c>
      <c r="D2">
        <f>B2</f>
        <v>1140.1600000000001</v>
      </c>
      <c r="E2">
        <f>D2 / $G$2 * 100</f>
        <v>83.932021658293451</v>
      </c>
      <c r="F2">
        <f>IF(E2&lt;100, 1, 0)</f>
        <v>1</v>
      </c>
      <c r="G2">
        <f>AVERAGEIFS(D:D, C:C, "&gt;=1961", C:C, "&lt;=1990")</f>
        <v>1358.4326666666668</v>
      </c>
    </row>
    <row r="3" spans="1:8" x14ac:dyDescent="0.2">
      <c r="A3">
        <v>190101190112</v>
      </c>
      <c r="B3">
        <v>1358.57</v>
      </c>
      <c r="C3">
        <f t="shared" ref="C3:C66" si="0">INT(A3/100000000)</f>
        <v>1901</v>
      </c>
      <c r="D3">
        <f t="shared" ref="D3:D66" si="1">B3</f>
        <v>1358.57</v>
      </c>
      <c r="E3">
        <f t="shared" ref="E3:E66" si="2">D3 / $G$2 * 100</f>
        <v>100.01010969013797</v>
      </c>
      <c r="F3">
        <f>IF(E3&lt;100, F2+1, 0)</f>
        <v>0</v>
      </c>
    </row>
    <row r="4" spans="1:8" x14ac:dyDescent="0.2">
      <c r="A4">
        <v>190201190212</v>
      </c>
      <c r="B4">
        <v>1134.93</v>
      </c>
      <c r="C4">
        <f t="shared" si="0"/>
        <v>1902</v>
      </c>
      <c r="D4">
        <f t="shared" si="1"/>
        <v>1134.93</v>
      </c>
      <c r="E4">
        <f t="shared" si="2"/>
        <v>83.547019138232343</v>
      </c>
      <c r="F4">
        <f t="shared" ref="F4:F67" si="3">IF(E4&lt;100, F3+1, 0)</f>
        <v>1</v>
      </c>
      <c r="G4" t="s">
        <v>7</v>
      </c>
      <c r="H4">
        <f>AVERAGEIFS(E:E, C:C, "&gt;=1900", C:C, "&lt;=1902")</f>
        <v>89.163050162221268</v>
      </c>
    </row>
    <row r="5" spans="1:8" x14ac:dyDescent="0.2">
      <c r="A5">
        <v>190301190312</v>
      </c>
      <c r="B5">
        <v>1524.16</v>
      </c>
      <c r="C5">
        <f t="shared" si="0"/>
        <v>1903</v>
      </c>
      <c r="D5">
        <f t="shared" si="1"/>
        <v>1524.16</v>
      </c>
      <c r="E5">
        <f t="shared" si="2"/>
        <v>112.19989311211106</v>
      </c>
      <c r="F5">
        <f t="shared" si="3"/>
        <v>0</v>
      </c>
      <c r="G5" t="s">
        <v>8</v>
      </c>
      <c r="H5">
        <f>AVERAGEIFS(E:E, C:C, "&gt;=1937", C:C, "&lt;=1945")</f>
        <v>97.757840858100025</v>
      </c>
    </row>
    <row r="6" spans="1:8" x14ac:dyDescent="0.2">
      <c r="A6">
        <v>190401190412</v>
      </c>
      <c r="B6">
        <v>1423.36</v>
      </c>
      <c r="C6">
        <f t="shared" si="0"/>
        <v>1904</v>
      </c>
      <c r="D6">
        <f t="shared" si="1"/>
        <v>1423.36</v>
      </c>
      <c r="E6">
        <f t="shared" si="2"/>
        <v>104.77957685548391</v>
      </c>
      <c r="F6">
        <f t="shared" si="3"/>
        <v>0</v>
      </c>
      <c r="G6" t="s">
        <v>9</v>
      </c>
      <c r="H6">
        <f>AVERAGEIFS(E:E, C:C, "&gt;=1997", C:C, "&lt;=2009")</f>
        <v>94.708411507575647</v>
      </c>
    </row>
    <row r="7" spans="1:8" x14ac:dyDescent="0.2">
      <c r="A7">
        <v>190501190512</v>
      </c>
      <c r="B7">
        <v>1447.49</v>
      </c>
      <c r="C7">
        <f t="shared" si="0"/>
        <v>1905</v>
      </c>
      <c r="D7">
        <f t="shared" si="1"/>
        <v>1447.49</v>
      </c>
      <c r="E7">
        <f t="shared" si="2"/>
        <v>106.55588867366264</v>
      </c>
      <c r="F7">
        <f t="shared" si="3"/>
        <v>0</v>
      </c>
      <c r="G7" t="s">
        <v>10</v>
      </c>
      <c r="H7">
        <f>AVERAGEIFS(E:E, C:C, "&gt;=2017", C:C, "&lt;=2019")</f>
        <v>93.589474929195362</v>
      </c>
    </row>
    <row r="8" spans="1:8" x14ac:dyDescent="0.2">
      <c r="A8">
        <v>190601190612</v>
      </c>
      <c r="B8">
        <v>1519.07</v>
      </c>
      <c r="C8">
        <f t="shared" si="0"/>
        <v>1906</v>
      </c>
      <c r="D8">
        <f t="shared" si="1"/>
        <v>1519.07</v>
      </c>
      <c r="E8">
        <f t="shared" si="2"/>
        <v>111.82519658685082</v>
      </c>
      <c r="F8">
        <f t="shared" si="3"/>
        <v>0</v>
      </c>
      <c r="G8" t="s">
        <v>11</v>
      </c>
      <c r="H8">
        <f>COUNTIF(E:E, "&lt;80")</f>
        <v>6</v>
      </c>
    </row>
    <row r="9" spans="1:8" x14ac:dyDescent="0.2">
      <c r="A9">
        <v>190701190712</v>
      </c>
      <c r="B9">
        <v>1518.5</v>
      </c>
      <c r="C9">
        <f t="shared" si="0"/>
        <v>1907</v>
      </c>
      <c r="D9">
        <f t="shared" si="1"/>
        <v>1518.5</v>
      </c>
      <c r="E9">
        <f t="shared" si="2"/>
        <v>111.78323646516155</v>
      </c>
      <c r="F9">
        <f t="shared" si="3"/>
        <v>0</v>
      </c>
      <c r="G9" t="s">
        <v>12</v>
      </c>
      <c r="H9">
        <f>MAX(F:F)</f>
        <v>6</v>
      </c>
    </row>
    <row r="10" spans="1:8" x14ac:dyDescent="0.2">
      <c r="A10">
        <v>190801190812</v>
      </c>
      <c r="B10">
        <v>1058.3599999999999</v>
      </c>
      <c r="C10">
        <f t="shared" si="0"/>
        <v>1908</v>
      </c>
      <c r="D10">
        <f t="shared" si="1"/>
        <v>1058.3599999999999</v>
      </c>
      <c r="E10">
        <f t="shared" si="2"/>
        <v>77.910376124641672</v>
      </c>
      <c r="F10">
        <f t="shared" si="3"/>
        <v>1</v>
      </c>
      <c r="G10" t="s">
        <v>13</v>
      </c>
      <c r="H10">
        <f>INDEX(C:C, MATCH(H9, F:F, 0))</f>
        <v>2002</v>
      </c>
    </row>
    <row r="11" spans="1:8" x14ac:dyDescent="0.2">
      <c r="A11">
        <v>190901190912</v>
      </c>
      <c r="B11">
        <v>1377.13</v>
      </c>
      <c r="C11">
        <f t="shared" si="0"/>
        <v>1909</v>
      </c>
      <c r="D11">
        <f t="shared" si="1"/>
        <v>1377.13</v>
      </c>
      <c r="E11">
        <f t="shared" si="2"/>
        <v>101.37639014373919</v>
      </c>
      <c r="F11">
        <f t="shared" si="3"/>
        <v>0</v>
      </c>
      <c r="G11" t="s">
        <v>14</v>
      </c>
      <c r="H11" t="str">
        <f>(H10-H9+1) &amp; "-" &amp; H10</f>
        <v>1997-2002</v>
      </c>
    </row>
    <row r="12" spans="1:8" x14ac:dyDescent="0.2">
      <c r="A12">
        <v>191001191012</v>
      </c>
      <c r="B12">
        <v>1507.7</v>
      </c>
      <c r="C12">
        <f t="shared" si="0"/>
        <v>1910</v>
      </c>
      <c r="D12">
        <f t="shared" si="1"/>
        <v>1507.7</v>
      </c>
      <c r="E12">
        <f t="shared" si="2"/>
        <v>110.98820258052294</v>
      </c>
      <c r="F12">
        <f t="shared" si="3"/>
        <v>0</v>
      </c>
    </row>
    <row r="13" spans="1:8" x14ac:dyDescent="0.2">
      <c r="A13">
        <v>191101191112</v>
      </c>
      <c r="B13">
        <v>1314</v>
      </c>
      <c r="C13">
        <f t="shared" si="0"/>
        <v>1911</v>
      </c>
      <c r="D13">
        <f t="shared" si="1"/>
        <v>1314</v>
      </c>
      <c r="E13">
        <f t="shared" si="2"/>
        <v>96.729122631032126</v>
      </c>
      <c r="F13">
        <f t="shared" si="3"/>
        <v>1</v>
      </c>
    </row>
    <row r="14" spans="1:8" x14ac:dyDescent="0.2">
      <c r="A14">
        <v>191201191212</v>
      </c>
      <c r="B14">
        <v>1374.32</v>
      </c>
      <c r="C14">
        <f t="shared" si="0"/>
        <v>1912</v>
      </c>
      <c r="D14">
        <f t="shared" si="1"/>
        <v>1374.32</v>
      </c>
      <c r="E14">
        <f t="shared" si="2"/>
        <v>101.16953410523597</v>
      </c>
      <c r="F14">
        <f t="shared" si="3"/>
        <v>0</v>
      </c>
    </row>
    <row r="15" spans="1:8" x14ac:dyDescent="0.2">
      <c r="A15">
        <v>191301191312</v>
      </c>
      <c r="B15">
        <v>1238.02</v>
      </c>
      <c r="C15">
        <f t="shared" si="0"/>
        <v>1913</v>
      </c>
      <c r="D15">
        <f t="shared" si="1"/>
        <v>1238.02</v>
      </c>
      <c r="E15">
        <f t="shared" si="2"/>
        <v>91.135912024102268</v>
      </c>
      <c r="F15">
        <f t="shared" si="3"/>
        <v>1</v>
      </c>
    </row>
    <row r="16" spans="1:8" x14ac:dyDescent="0.2">
      <c r="A16">
        <v>191401191412</v>
      </c>
      <c r="B16">
        <v>1017.63</v>
      </c>
      <c r="C16">
        <f t="shared" si="0"/>
        <v>1914</v>
      </c>
      <c r="D16">
        <f t="shared" si="1"/>
        <v>1017.63</v>
      </c>
      <c r="E16">
        <f t="shared" si="2"/>
        <v>74.912067780073983</v>
      </c>
      <c r="F16">
        <f t="shared" si="3"/>
        <v>2</v>
      </c>
    </row>
    <row r="17" spans="1:6" x14ac:dyDescent="0.2">
      <c r="A17">
        <v>191501191512</v>
      </c>
      <c r="B17">
        <v>1518.39</v>
      </c>
      <c r="C17">
        <f t="shared" si="0"/>
        <v>1915</v>
      </c>
      <c r="D17">
        <f t="shared" si="1"/>
        <v>1518.39</v>
      </c>
      <c r="E17">
        <f t="shared" si="2"/>
        <v>111.77513889781802</v>
      </c>
      <c r="F17">
        <f t="shared" si="3"/>
        <v>0</v>
      </c>
    </row>
    <row r="18" spans="1:6" x14ac:dyDescent="0.2">
      <c r="A18">
        <v>191601191612</v>
      </c>
      <c r="B18">
        <v>1659.09</v>
      </c>
      <c r="C18">
        <f t="shared" si="0"/>
        <v>1916</v>
      </c>
      <c r="D18">
        <f t="shared" si="1"/>
        <v>1659.09</v>
      </c>
      <c r="E18">
        <f t="shared" si="2"/>
        <v>122.13266367269335</v>
      </c>
      <c r="F18">
        <f t="shared" si="3"/>
        <v>0</v>
      </c>
    </row>
    <row r="19" spans="1:6" x14ac:dyDescent="0.2">
      <c r="A19">
        <v>191701191712</v>
      </c>
      <c r="B19">
        <v>1606.69</v>
      </c>
      <c r="C19">
        <f t="shared" si="0"/>
        <v>1917</v>
      </c>
      <c r="D19">
        <f t="shared" si="1"/>
        <v>1606.69</v>
      </c>
      <c r="E19">
        <f t="shared" si="2"/>
        <v>118.27527704722452</v>
      </c>
      <c r="F19">
        <f t="shared" si="3"/>
        <v>0</v>
      </c>
    </row>
    <row r="20" spans="1:6" x14ac:dyDescent="0.2">
      <c r="A20">
        <v>191801191812</v>
      </c>
      <c r="B20">
        <v>1250.4100000000001</v>
      </c>
      <c r="C20">
        <f t="shared" si="0"/>
        <v>1918</v>
      </c>
      <c r="D20">
        <f t="shared" si="1"/>
        <v>1250.4100000000001</v>
      </c>
      <c r="E20">
        <f t="shared" si="2"/>
        <v>92.047992563979363</v>
      </c>
      <c r="F20">
        <f t="shared" si="3"/>
        <v>1</v>
      </c>
    </row>
    <row r="21" spans="1:6" x14ac:dyDescent="0.2">
      <c r="A21">
        <v>191901191912</v>
      </c>
      <c r="B21">
        <v>1159.5899999999999</v>
      </c>
      <c r="C21">
        <f t="shared" si="0"/>
        <v>1919</v>
      </c>
      <c r="D21">
        <f t="shared" si="1"/>
        <v>1159.5899999999999</v>
      </c>
      <c r="E21">
        <f t="shared" si="2"/>
        <v>85.362346508157188</v>
      </c>
      <c r="F21">
        <f t="shared" si="3"/>
        <v>2</v>
      </c>
    </row>
    <row r="22" spans="1:6" x14ac:dyDescent="0.2">
      <c r="A22">
        <v>192001192012</v>
      </c>
      <c r="B22">
        <v>1251.27</v>
      </c>
      <c r="C22">
        <f t="shared" si="0"/>
        <v>1920</v>
      </c>
      <c r="D22">
        <f t="shared" si="1"/>
        <v>1251.27</v>
      </c>
      <c r="E22">
        <f t="shared" si="2"/>
        <v>92.111300817756131</v>
      </c>
      <c r="F22">
        <f t="shared" si="3"/>
        <v>3</v>
      </c>
    </row>
    <row r="23" spans="1:6" x14ac:dyDescent="0.2">
      <c r="A23">
        <v>192101192112</v>
      </c>
      <c r="B23">
        <v>1244.27</v>
      </c>
      <c r="C23">
        <f t="shared" si="0"/>
        <v>1921</v>
      </c>
      <c r="D23">
        <f t="shared" si="1"/>
        <v>1244.27</v>
      </c>
      <c r="E23">
        <f t="shared" si="2"/>
        <v>91.596001077712586</v>
      </c>
      <c r="F23">
        <f t="shared" si="3"/>
        <v>4</v>
      </c>
    </row>
    <row r="24" spans="1:6" x14ac:dyDescent="0.2">
      <c r="A24">
        <v>192201192212</v>
      </c>
      <c r="B24">
        <v>1316.68</v>
      </c>
      <c r="C24">
        <f t="shared" si="0"/>
        <v>1922</v>
      </c>
      <c r="D24">
        <f t="shared" si="1"/>
        <v>1316.68</v>
      </c>
      <c r="E24">
        <f t="shared" si="2"/>
        <v>96.926408817220235</v>
      </c>
      <c r="F24">
        <f t="shared" si="3"/>
        <v>5</v>
      </c>
    </row>
    <row r="25" spans="1:6" x14ac:dyDescent="0.2">
      <c r="A25">
        <v>192301192312</v>
      </c>
      <c r="B25">
        <v>1674.78</v>
      </c>
      <c r="C25">
        <f t="shared" si="0"/>
        <v>1923</v>
      </c>
      <c r="D25">
        <f t="shared" si="1"/>
        <v>1674.78</v>
      </c>
      <c r="E25">
        <f t="shared" si="2"/>
        <v>123.28767123287669</v>
      </c>
      <c r="F25">
        <f t="shared" si="3"/>
        <v>0</v>
      </c>
    </row>
    <row r="26" spans="1:6" x14ac:dyDescent="0.2">
      <c r="A26">
        <v>192401192412</v>
      </c>
      <c r="B26">
        <v>1568.53</v>
      </c>
      <c r="C26">
        <f t="shared" si="0"/>
        <v>1924</v>
      </c>
      <c r="D26">
        <f t="shared" si="1"/>
        <v>1568.53</v>
      </c>
      <c r="E26">
        <f t="shared" si="2"/>
        <v>115.46615732150138</v>
      </c>
      <c r="F26">
        <f t="shared" si="3"/>
        <v>0</v>
      </c>
    </row>
    <row r="27" spans="1:6" x14ac:dyDescent="0.2">
      <c r="A27">
        <v>192501192512</v>
      </c>
      <c r="B27">
        <v>1094.8499999999999</v>
      </c>
      <c r="C27">
        <f t="shared" si="0"/>
        <v>1925</v>
      </c>
      <c r="D27">
        <f t="shared" si="1"/>
        <v>1094.8499999999999</v>
      </c>
      <c r="E27">
        <f t="shared" si="2"/>
        <v>80.596560055240118</v>
      </c>
      <c r="F27">
        <f t="shared" si="3"/>
        <v>1</v>
      </c>
    </row>
    <row r="28" spans="1:6" x14ac:dyDescent="0.2">
      <c r="A28">
        <v>192601192612</v>
      </c>
      <c r="B28">
        <v>1355.19</v>
      </c>
      <c r="C28">
        <f t="shared" si="0"/>
        <v>1926</v>
      </c>
      <c r="D28">
        <f t="shared" si="1"/>
        <v>1355.19</v>
      </c>
      <c r="E28">
        <f t="shared" si="2"/>
        <v>99.761293529945533</v>
      </c>
      <c r="F28">
        <f t="shared" si="3"/>
        <v>2</v>
      </c>
    </row>
    <row r="29" spans="1:6" x14ac:dyDescent="0.2">
      <c r="A29">
        <v>192701192712</v>
      </c>
      <c r="B29">
        <v>1177.96</v>
      </c>
      <c r="C29">
        <f t="shared" si="0"/>
        <v>1927</v>
      </c>
      <c r="D29">
        <f t="shared" si="1"/>
        <v>1177.96</v>
      </c>
      <c r="E29">
        <f t="shared" si="2"/>
        <v>86.714640254528618</v>
      </c>
      <c r="F29">
        <f t="shared" si="3"/>
        <v>3</v>
      </c>
    </row>
    <row r="30" spans="1:6" x14ac:dyDescent="0.2">
      <c r="A30">
        <v>192801192812</v>
      </c>
      <c r="B30">
        <v>1536.43</v>
      </c>
      <c r="C30">
        <f t="shared" si="0"/>
        <v>1928</v>
      </c>
      <c r="D30">
        <f t="shared" si="1"/>
        <v>1536.43</v>
      </c>
      <c r="E30">
        <f t="shared" si="2"/>
        <v>113.10313994215882</v>
      </c>
      <c r="F30">
        <f t="shared" si="3"/>
        <v>0</v>
      </c>
    </row>
    <row r="31" spans="1:6" x14ac:dyDescent="0.2">
      <c r="A31">
        <v>192901192912</v>
      </c>
      <c r="B31">
        <v>1518.75</v>
      </c>
      <c r="C31">
        <f t="shared" si="0"/>
        <v>1929</v>
      </c>
      <c r="D31">
        <f t="shared" si="1"/>
        <v>1518.75</v>
      </c>
      <c r="E31">
        <f t="shared" si="2"/>
        <v>111.80164002730596</v>
      </c>
      <c r="F31">
        <f t="shared" si="3"/>
        <v>0</v>
      </c>
    </row>
    <row r="32" spans="1:6" x14ac:dyDescent="0.2">
      <c r="A32">
        <v>193001193012</v>
      </c>
      <c r="B32">
        <v>1215.67</v>
      </c>
      <c r="C32">
        <f t="shared" si="0"/>
        <v>1930</v>
      </c>
      <c r="D32">
        <f t="shared" si="1"/>
        <v>1215.67</v>
      </c>
      <c r="E32">
        <f t="shared" si="2"/>
        <v>89.490633568391814</v>
      </c>
      <c r="F32">
        <f t="shared" si="3"/>
        <v>1</v>
      </c>
    </row>
    <row r="33" spans="1:6" x14ac:dyDescent="0.2">
      <c r="A33">
        <v>193101193112</v>
      </c>
      <c r="B33">
        <v>1619.22</v>
      </c>
      <c r="C33">
        <f t="shared" si="0"/>
        <v>1931</v>
      </c>
      <c r="D33">
        <f t="shared" si="1"/>
        <v>1619.22</v>
      </c>
      <c r="E33">
        <f t="shared" si="2"/>
        <v>119.19766358190248</v>
      </c>
      <c r="F33">
        <f t="shared" si="3"/>
        <v>0</v>
      </c>
    </row>
    <row r="34" spans="1:6" x14ac:dyDescent="0.2">
      <c r="A34">
        <v>193201193212</v>
      </c>
      <c r="B34">
        <v>1299.27</v>
      </c>
      <c r="C34">
        <f t="shared" si="0"/>
        <v>1932</v>
      </c>
      <c r="D34">
        <f t="shared" si="1"/>
        <v>1299.27</v>
      </c>
      <c r="E34">
        <f t="shared" si="2"/>
        <v>95.644784749483335</v>
      </c>
      <c r="F34">
        <f t="shared" si="3"/>
        <v>1</v>
      </c>
    </row>
    <row r="35" spans="1:6" x14ac:dyDescent="0.2">
      <c r="A35">
        <v>193301193312</v>
      </c>
      <c r="B35">
        <v>1126.33</v>
      </c>
      <c r="C35">
        <f t="shared" si="0"/>
        <v>1933</v>
      </c>
      <c r="D35">
        <f t="shared" si="1"/>
        <v>1126.33</v>
      </c>
      <c r="E35">
        <f t="shared" si="2"/>
        <v>82.913936600464538</v>
      </c>
      <c r="F35">
        <f t="shared" si="3"/>
        <v>2</v>
      </c>
    </row>
    <row r="36" spans="1:6" x14ac:dyDescent="0.2">
      <c r="A36">
        <v>193401193412</v>
      </c>
      <c r="B36">
        <v>1176.19</v>
      </c>
      <c r="C36">
        <f t="shared" si="0"/>
        <v>1934</v>
      </c>
      <c r="D36">
        <f t="shared" si="1"/>
        <v>1176.19</v>
      </c>
      <c r="E36">
        <f t="shared" si="2"/>
        <v>86.58434303454618</v>
      </c>
      <c r="F36">
        <f t="shared" si="3"/>
        <v>3</v>
      </c>
    </row>
    <row r="37" spans="1:6" x14ac:dyDescent="0.2">
      <c r="A37">
        <v>193501193512</v>
      </c>
      <c r="B37">
        <v>1446.8</v>
      </c>
      <c r="C37">
        <f t="shared" si="0"/>
        <v>1935</v>
      </c>
      <c r="D37">
        <f t="shared" si="1"/>
        <v>1446.8</v>
      </c>
      <c r="E37">
        <f t="shared" si="2"/>
        <v>106.50509484214406</v>
      </c>
      <c r="F37">
        <f t="shared" si="3"/>
        <v>0</v>
      </c>
    </row>
    <row r="38" spans="1:6" x14ac:dyDescent="0.2">
      <c r="A38">
        <v>193601193612</v>
      </c>
      <c r="B38">
        <v>1353.92</v>
      </c>
      <c r="C38">
        <f t="shared" si="0"/>
        <v>1936</v>
      </c>
      <c r="D38">
        <f t="shared" si="1"/>
        <v>1353.92</v>
      </c>
      <c r="E38">
        <f t="shared" si="2"/>
        <v>99.667803434251923</v>
      </c>
      <c r="F38">
        <f t="shared" si="3"/>
        <v>1</v>
      </c>
    </row>
    <row r="39" spans="1:6" x14ac:dyDescent="0.2">
      <c r="A39">
        <v>193701193712</v>
      </c>
      <c r="B39">
        <v>1242.79</v>
      </c>
      <c r="C39">
        <f t="shared" si="0"/>
        <v>1937</v>
      </c>
      <c r="D39">
        <f t="shared" si="1"/>
        <v>1242.79</v>
      </c>
      <c r="E39">
        <f t="shared" si="2"/>
        <v>91.487051989817672</v>
      </c>
      <c r="F39">
        <f t="shared" si="3"/>
        <v>2</v>
      </c>
    </row>
    <row r="40" spans="1:6" x14ac:dyDescent="0.2">
      <c r="A40">
        <v>193801193812</v>
      </c>
      <c r="B40">
        <v>1416.67</v>
      </c>
      <c r="C40">
        <f t="shared" si="0"/>
        <v>1938</v>
      </c>
      <c r="D40">
        <f t="shared" si="1"/>
        <v>1416.67</v>
      </c>
      <c r="E40">
        <f t="shared" si="2"/>
        <v>104.28709753249944</v>
      </c>
      <c r="F40">
        <f t="shared" si="3"/>
        <v>0</v>
      </c>
    </row>
    <row r="41" spans="1:6" x14ac:dyDescent="0.2">
      <c r="A41">
        <v>193901193912</v>
      </c>
      <c r="B41">
        <v>1583.51</v>
      </c>
      <c r="C41">
        <f t="shared" si="0"/>
        <v>1939</v>
      </c>
      <c r="D41">
        <f t="shared" si="1"/>
        <v>1583.51</v>
      </c>
      <c r="E41">
        <f t="shared" si="2"/>
        <v>116.56889876519459</v>
      </c>
      <c r="F41">
        <f t="shared" si="3"/>
        <v>0</v>
      </c>
    </row>
    <row r="42" spans="1:6" x14ac:dyDescent="0.2">
      <c r="A42">
        <v>194001194012</v>
      </c>
      <c r="B42">
        <v>1186.1400000000001</v>
      </c>
      <c r="C42">
        <f t="shared" si="0"/>
        <v>1940</v>
      </c>
      <c r="D42">
        <f t="shared" si="1"/>
        <v>1186.1400000000001</v>
      </c>
      <c r="E42">
        <f t="shared" si="2"/>
        <v>87.316804807893803</v>
      </c>
      <c r="F42">
        <f t="shared" si="3"/>
        <v>1</v>
      </c>
    </row>
    <row r="43" spans="1:6" x14ac:dyDescent="0.2">
      <c r="A43">
        <v>194101194112</v>
      </c>
      <c r="B43">
        <v>1261.6600000000001</v>
      </c>
      <c r="C43">
        <f t="shared" si="0"/>
        <v>1941</v>
      </c>
      <c r="D43">
        <f t="shared" si="1"/>
        <v>1261.6600000000001</v>
      </c>
      <c r="E43">
        <f t="shared" si="2"/>
        <v>92.87615286047793</v>
      </c>
      <c r="F43">
        <f t="shared" si="3"/>
        <v>2</v>
      </c>
    </row>
    <row r="44" spans="1:6" x14ac:dyDescent="0.2">
      <c r="A44">
        <v>194201194212</v>
      </c>
      <c r="B44">
        <v>1384.38</v>
      </c>
      <c r="C44">
        <f t="shared" si="0"/>
        <v>1942</v>
      </c>
      <c r="D44">
        <f t="shared" si="1"/>
        <v>1384.38</v>
      </c>
      <c r="E44">
        <f t="shared" si="2"/>
        <v>101.91009344592715</v>
      </c>
      <c r="F44">
        <f t="shared" si="3"/>
        <v>0</v>
      </c>
    </row>
    <row r="45" spans="1:6" x14ac:dyDescent="0.2">
      <c r="A45">
        <v>194301194312</v>
      </c>
      <c r="B45">
        <v>1231.42</v>
      </c>
      <c r="C45">
        <f t="shared" si="0"/>
        <v>1943</v>
      </c>
      <c r="D45">
        <f t="shared" si="1"/>
        <v>1231.42</v>
      </c>
      <c r="E45">
        <f t="shared" si="2"/>
        <v>90.650057983489802</v>
      </c>
      <c r="F45">
        <f t="shared" si="3"/>
        <v>1</v>
      </c>
    </row>
    <row r="46" spans="1:6" x14ac:dyDescent="0.2">
      <c r="A46">
        <v>194401194412</v>
      </c>
      <c r="B46">
        <v>1406.52</v>
      </c>
      <c r="C46">
        <f t="shared" si="0"/>
        <v>1944</v>
      </c>
      <c r="D46">
        <f t="shared" si="1"/>
        <v>1406.52</v>
      </c>
      <c r="E46">
        <f t="shared" si="2"/>
        <v>103.5399129094363</v>
      </c>
      <c r="F46">
        <f t="shared" si="3"/>
        <v>0</v>
      </c>
    </row>
    <row r="47" spans="1:6" x14ac:dyDescent="0.2">
      <c r="A47">
        <v>194501194512</v>
      </c>
      <c r="B47">
        <v>1238.68</v>
      </c>
      <c r="C47">
        <f t="shared" si="0"/>
        <v>1945</v>
      </c>
      <c r="D47">
        <f t="shared" si="1"/>
        <v>1238.68</v>
      </c>
      <c r="E47">
        <f t="shared" si="2"/>
        <v>91.184497428163525</v>
      </c>
      <c r="F47">
        <f t="shared" si="3"/>
        <v>1</v>
      </c>
    </row>
    <row r="48" spans="1:6" x14ac:dyDescent="0.2">
      <c r="A48">
        <v>194601194612</v>
      </c>
      <c r="B48">
        <v>1711.78</v>
      </c>
      <c r="C48">
        <f t="shared" si="0"/>
        <v>1946</v>
      </c>
      <c r="D48">
        <f t="shared" si="1"/>
        <v>1711.78</v>
      </c>
      <c r="E48">
        <f t="shared" si="2"/>
        <v>126.01139843024976</v>
      </c>
      <c r="F48">
        <f t="shared" si="3"/>
        <v>0</v>
      </c>
    </row>
    <row r="49" spans="1:6" x14ac:dyDescent="0.2">
      <c r="A49">
        <v>194701194712</v>
      </c>
      <c r="B49">
        <v>1707.79</v>
      </c>
      <c r="C49">
        <f t="shared" si="0"/>
        <v>1947</v>
      </c>
      <c r="D49">
        <f t="shared" si="1"/>
        <v>1707.79</v>
      </c>
      <c r="E49">
        <f t="shared" si="2"/>
        <v>125.71767757842491</v>
      </c>
      <c r="F49">
        <f t="shared" si="3"/>
        <v>0</v>
      </c>
    </row>
    <row r="50" spans="1:6" x14ac:dyDescent="0.2">
      <c r="A50">
        <v>194801194812</v>
      </c>
      <c r="B50">
        <v>1508.97</v>
      </c>
      <c r="C50">
        <f t="shared" si="0"/>
        <v>1948</v>
      </c>
      <c r="D50">
        <f t="shared" si="1"/>
        <v>1508.97</v>
      </c>
      <c r="E50">
        <f t="shared" si="2"/>
        <v>111.08169267621655</v>
      </c>
      <c r="F50">
        <f t="shared" si="3"/>
        <v>0</v>
      </c>
    </row>
    <row r="51" spans="1:6" x14ac:dyDescent="0.2">
      <c r="A51">
        <v>194901194912</v>
      </c>
      <c r="B51">
        <v>1238.3900000000001</v>
      </c>
      <c r="C51">
        <f t="shared" si="0"/>
        <v>1949</v>
      </c>
      <c r="D51">
        <f t="shared" si="1"/>
        <v>1238.3900000000001</v>
      </c>
      <c r="E51">
        <f t="shared" si="2"/>
        <v>91.163149296076014</v>
      </c>
      <c r="F51">
        <f t="shared" si="3"/>
        <v>1</v>
      </c>
    </row>
    <row r="52" spans="1:6" x14ac:dyDescent="0.2">
      <c r="A52">
        <v>195001195012</v>
      </c>
      <c r="B52">
        <v>1081.74</v>
      </c>
      <c r="C52">
        <f t="shared" si="0"/>
        <v>1950</v>
      </c>
      <c r="D52">
        <f t="shared" si="1"/>
        <v>1081.74</v>
      </c>
      <c r="E52">
        <f t="shared" si="2"/>
        <v>79.631477256387129</v>
      </c>
      <c r="F52">
        <f t="shared" si="3"/>
        <v>2</v>
      </c>
    </row>
    <row r="53" spans="1:6" x14ac:dyDescent="0.2">
      <c r="A53">
        <v>195101195112</v>
      </c>
      <c r="B53">
        <v>1361.37</v>
      </c>
      <c r="C53">
        <f t="shared" si="0"/>
        <v>1951</v>
      </c>
      <c r="D53">
        <f t="shared" si="1"/>
        <v>1361.37</v>
      </c>
      <c r="E53">
        <f t="shared" si="2"/>
        <v>100.21622958615539</v>
      </c>
      <c r="F53">
        <f t="shared" si="3"/>
        <v>0</v>
      </c>
    </row>
    <row r="54" spans="1:6" x14ac:dyDescent="0.2">
      <c r="A54">
        <v>195201195212</v>
      </c>
      <c r="B54">
        <v>1648.2</v>
      </c>
      <c r="C54">
        <f t="shared" si="0"/>
        <v>1952</v>
      </c>
      <c r="D54">
        <f t="shared" si="1"/>
        <v>1648.2</v>
      </c>
      <c r="E54">
        <f t="shared" si="2"/>
        <v>121.33100450568277</v>
      </c>
      <c r="F54">
        <f t="shared" si="3"/>
        <v>0</v>
      </c>
    </row>
    <row r="55" spans="1:6" x14ac:dyDescent="0.2">
      <c r="A55">
        <v>195301195312</v>
      </c>
      <c r="B55">
        <v>1492.62</v>
      </c>
      <c r="C55">
        <f t="shared" si="0"/>
        <v>1953</v>
      </c>
      <c r="D55">
        <f t="shared" si="1"/>
        <v>1492.62</v>
      </c>
      <c r="E55">
        <f t="shared" si="2"/>
        <v>109.87809971197196</v>
      </c>
      <c r="F55">
        <f t="shared" si="3"/>
        <v>0</v>
      </c>
    </row>
    <row r="56" spans="1:6" x14ac:dyDescent="0.2">
      <c r="A56">
        <v>195401195412</v>
      </c>
      <c r="B56">
        <v>1305.4100000000001</v>
      </c>
      <c r="C56">
        <f t="shared" si="0"/>
        <v>1954</v>
      </c>
      <c r="D56">
        <f t="shared" si="1"/>
        <v>1305.4100000000001</v>
      </c>
      <c r="E56">
        <f t="shared" si="2"/>
        <v>96.096776235750113</v>
      </c>
      <c r="F56">
        <f t="shared" si="3"/>
        <v>1</v>
      </c>
    </row>
    <row r="57" spans="1:6" x14ac:dyDescent="0.2">
      <c r="A57">
        <v>195501195512</v>
      </c>
      <c r="B57">
        <v>1446.67</v>
      </c>
      <c r="C57">
        <f t="shared" si="0"/>
        <v>1955</v>
      </c>
      <c r="D57">
        <f t="shared" si="1"/>
        <v>1446.67</v>
      </c>
      <c r="E57">
        <f t="shared" si="2"/>
        <v>106.49552498982895</v>
      </c>
      <c r="F57">
        <f t="shared" si="3"/>
        <v>0</v>
      </c>
    </row>
    <row r="58" spans="1:6" x14ac:dyDescent="0.2">
      <c r="A58">
        <v>195601195612</v>
      </c>
      <c r="B58">
        <v>1729.04</v>
      </c>
      <c r="C58">
        <f t="shared" si="0"/>
        <v>1956</v>
      </c>
      <c r="D58">
        <f t="shared" si="1"/>
        <v>1729.04</v>
      </c>
      <c r="E58">
        <f t="shared" si="2"/>
        <v>127.28198036069998</v>
      </c>
      <c r="F58">
        <f t="shared" si="3"/>
        <v>0</v>
      </c>
    </row>
    <row r="59" spans="1:6" x14ac:dyDescent="0.2">
      <c r="A59">
        <v>195701195712</v>
      </c>
      <c r="B59">
        <v>1270.76</v>
      </c>
      <c r="C59">
        <f t="shared" si="0"/>
        <v>1957</v>
      </c>
      <c r="D59">
        <f t="shared" si="1"/>
        <v>1270.76</v>
      </c>
      <c r="E59">
        <f t="shared" si="2"/>
        <v>93.546042522534535</v>
      </c>
      <c r="F59">
        <f t="shared" si="3"/>
        <v>1</v>
      </c>
    </row>
    <row r="60" spans="1:6" x14ac:dyDescent="0.2">
      <c r="A60">
        <v>195801195812</v>
      </c>
      <c r="B60">
        <v>1625.63</v>
      </c>
      <c r="C60">
        <f t="shared" si="0"/>
        <v>1958</v>
      </c>
      <c r="D60">
        <f t="shared" si="1"/>
        <v>1625.63</v>
      </c>
      <c r="E60">
        <f t="shared" si="2"/>
        <v>119.66953091528521</v>
      </c>
      <c r="F60">
        <f t="shared" si="3"/>
        <v>0</v>
      </c>
    </row>
    <row r="61" spans="1:6" x14ac:dyDescent="0.2">
      <c r="A61">
        <v>195901195912</v>
      </c>
      <c r="B61">
        <v>1140.3900000000001</v>
      </c>
      <c r="C61">
        <f t="shared" si="0"/>
        <v>1959</v>
      </c>
      <c r="D61">
        <f t="shared" si="1"/>
        <v>1140.3900000000001</v>
      </c>
      <c r="E61">
        <f t="shared" si="2"/>
        <v>83.948952935466309</v>
      </c>
      <c r="F61">
        <f t="shared" si="3"/>
        <v>1</v>
      </c>
    </row>
    <row r="62" spans="1:6" x14ac:dyDescent="0.2">
      <c r="A62">
        <v>196001196012</v>
      </c>
      <c r="B62">
        <v>1385.27</v>
      </c>
      <c r="C62">
        <f t="shared" si="0"/>
        <v>1960</v>
      </c>
      <c r="D62">
        <f t="shared" si="1"/>
        <v>1385.27</v>
      </c>
      <c r="E62">
        <f t="shared" si="2"/>
        <v>101.97561012716123</v>
      </c>
      <c r="F62">
        <f t="shared" si="3"/>
        <v>0</v>
      </c>
    </row>
    <row r="63" spans="1:6" x14ac:dyDescent="0.2">
      <c r="A63">
        <v>196101196112</v>
      </c>
      <c r="B63">
        <v>1108.58</v>
      </c>
      <c r="C63">
        <f t="shared" si="0"/>
        <v>1961</v>
      </c>
      <c r="D63">
        <f t="shared" si="1"/>
        <v>1108.58</v>
      </c>
      <c r="E63">
        <f t="shared" si="2"/>
        <v>81.607283688211254</v>
      </c>
      <c r="F63">
        <f t="shared" si="3"/>
        <v>1</v>
      </c>
    </row>
    <row r="64" spans="1:6" x14ac:dyDescent="0.2">
      <c r="A64">
        <v>196201196212</v>
      </c>
      <c r="B64">
        <v>1451.48</v>
      </c>
      <c r="C64">
        <f t="shared" si="0"/>
        <v>1962</v>
      </c>
      <c r="D64">
        <f t="shared" si="1"/>
        <v>1451.48</v>
      </c>
      <c r="E64">
        <f t="shared" si="2"/>
        <v>106.84960952548745</v>
      </c>
      <c r="F64">
        <f t="shared" si="3"/>
        <v>0</v>
      </c>
    </row>
    <row r="65" spans="1:6" x14ac:dyDescent="0.2">
      <c r="A65">
        <v>196301196312</v>
      </c>
      <c r="B65">
        <v>1050.96</v>
      </c>
      <c r="C65">
        <f t="shared" si="0"/>
        <v>1963</v>
      </c>
      <c r="D65">
        <f t="shared" si="1"/>
        <v>1050.96</v>
      </c>
      <c r="E65">
        <f t="shared" si="2"/>
        <v>77.365630685167062</v>
      </c>
      <c r="F65">
        <f t="shared" si="3"/>
        <v>1</v>
      </c>
    </row>
    <row r="66" spans="1:6" x14ac:dyDescent="0.2">
      <c r="A66">
        <v>196401196412</v>
      </c>
      <c r="B66">
        <v>1672.75</v>
      </c>
      <c r="C66">
        <f t="shared" si="0"/>
        <v>1964</v>
      </c>
      <c r="D66">
        <f t="shared" si="1"/>
        <v>1672.75</v>
      </c>
      <c r="E66">
        <f t="shared" si="2"/>
        <v>123.13823430826407</v>
      </c>
      <c r="F66">
        <f t="shared" si="3"/>
        <v>0</v>
      </c>
    </row>
    <row r="67" spans="1:6" x14ac:dyDescent="0.2">
      <c r="A67">
        <v>196501196512</v>
      </c>
      <c r="B67">
        <v>1278.17</v>
      </c>
      <c r="C67">
        <f t="shared" ref="C67:C127" si="4">INT(A67/100000000)</f>
        <v>1965</v>
      </c>
      <c r="D67">
        <f t="shared" ref="D67:D127" si="5">B67</f>
        <v>1278.17</v>
      </c>
      <c r="E67">
        <f t="shared" ref="E67:E127" si="6">D67 / $G$2 * 100</f>
        <v>94.091524104494923</v>
      </c>
      <c r="F67">
        <f t="shared" si="3"/>
        <v>1</v>
      </c>
    </row>
    <row r="68" spans="1:6" x14ac:dyDescent="0.2">
      <c r="A68">
        <v>196601196612</v>
      </c>
      <c r="B68">
        <v>1214.8499999999999</v>
      </c>
      <c r="C68">
        <f t="shared" si="4"/>
        <v>1966</v>
      </c>
      <c r="D68">
        <f t="shared" si="5"/>
        <v>1214.8499999999999</v>
      </c>
      <c r="E68">
        <f t="shared" si="6"/>
        <v>89.430269884558129</v>
      </c>
      <c r="F68">
        <f t="shared" ref="F68:F127" si="7">IF(E68&lt;100, F67+1, 0)</f>
        <v>2</v>
      </c>
    </row>
    <row r="69" spans="1:6" x14ac:dyDescent="0.2">
      <c r="A69">
        <v>196701196712</v>
      </c>
      <c r="B69">
        <v>1055.3599999999999</v>
      </c>
      <c r="C69">
        <f t="shared" si="4"/>
        <v>1967</v>
      </c>
      <c r="D69">
        <f t="shared" si="5"/>
        <v>1055.3599999999999</v>
      </c>
      <c r="E69">
        <f t="shared" si="6"/>
        <v>77.68953337890872</v>
      </c>
      <c r="F69">
        <f t="shared" si="7"/>
        <v>3</v>
      </c>
    </row>
    <row r="70" spans="1:6" x14ac:dyDescent="0.2">
      <c r="A70">
        <v>196801196812</v>
      </c>
      <c r="B70">
        <v>1684.93</v>
      </c>
      <c r="C70">
        <f t="shared" si="4"/>
        <v>1968</v>
      </c>
      <c r="D70">
        <f t="shared" si="5"/>
        <v>1684.93</v>
      </c>
      <c r="E70">
        <f t="shared" si="6"/>
        <v>124.03485585593985</v>
      </c>
      <c r="F70">
        <f t="shared" si="7"/>
        <v>0</v>
      </c>
    </row>
    <row r="71" spans="1:6" x14ac:dyDescent="0.2">
      <c r="A71">
        <v>196901196912</v>
      </c>
      <c r="B71">
        <v>1423.13</v>
      </c>
      <c r="C71">
        <f t="shared" si="4"/>
        <v>1969</v>
      </c>
      <c r="D71">
        <f t="shared" si="5"/>
        <v>1423.13</v>
      </c>
      <c r="E71">
        <f t="shared" si="6"/>
        <v>104.76264557831108</v>
      </c>
      <c r="F71">
        <f t="shared" si="7"/>
        <v>0</v>
      </c>
    </row>
    <row r="72" spans="1:6" x14ac:dyDescent="0.2">
      <c r="A72">
        <v>197001197012</v>
      </c>
      <c r="B72">
        <v>1628.91</v>
      </c>
      <c r="C72">
        <f t="shared" si="4"/>
        <v>1970</v>
      </c>
      <c r="D72">
        <f t="shared" si="5"/>
        <v>1628.91</v>
      </c>
      <c r="E72">
        <f t="shared" si="6"/>
        <v>119.91098565061991</v>
      </c>
      <c r="F72">
        <f t="shared" si="7"/>
        <v>0</v>
      </c>
    </row>
    <row r="73" spans="1:6" x14ac:dyDescent="0.2">
      <c r="A73">
        <v>197101197112</v>
      </c>
      <c r="B73">
        <v>1603.79</v>
      </c>
      <c r="C73">
        <f t="shared" si="4"/>
        <v>1971</v>
      </c>
      <c r="D73">
        <f t="shared" si="5"/>
        <v>1603.79</v>
      </c>
      <c r="E73">
        <f t="shared" si="6"/>
        <v>118.06179572634932</v>
      </c>
      <c r="F73">
        <f t="shared" si="7"/>
        <v>0</v>
      </c>
    </row>
    <row r="74" spans="1:6" x14ac:dyDescent="0.2">
      <c r="A74">
        <v>197201197212</v>
      </c>
      <c r="B74">
        <v>1111.2</v>
      </c>
      <c r="C74">
        <f t="shared" si="4"/>
        <v>1972</v>
      </c>
      <c r="D74">
        <f t="shared" si="5"/>
        <v>1111.2</v>
      </c>
      <c r="E74">
        <f t="shared" si="6"/>
        <v>81.800153019484696</v>
      </c>
      <c r="F74">
        <f t="shared" si="7"/>
        <v>1</v>
      </c>
    </row>
    <row r="75" spans="1:6" x14ac:dyDescent="0.2">
      <c r="A75">
        <v>197301197312</v>
      </c>
      <c r="B75">
        <v>1547.84</v>
      </c>
      <c r="C75">
        <f t="shared" si="4"/>
        <v>1973</v>
      </c>
      <c r="D75">
        <f t="shared" si="5"/>
        <v>1547.84</v>
      </c>
      <c r="E75">
        <f t="shared" si="6"/>
        <v>113.9430785184298</v>
      </c>
      <c r="F75">
        <f t="shared" si="7"/>
        <v>0</v>
      </c>
    </row>
    <row r="76" spans="1:6" x14ac:dyDescent="0.2">
      <c r="A76">
        <v>197401197412</v>
      </c>
      <c r="B76">
        <v>1501.26</v>
      </c>
      <c r="C76">
        <f t="shared" si="4"/>
        <v>1974</v>
      </c>
      <c r="D76">
        <f t="shared" si="5"/>
        <v>1501.26</v>
      </c>
      <c r="E76">
        <f t="shared" si="6"/>
        <v>110.51412681968287</v>
      </c>
      <c r="F76">
        <f t="shared" si="7"/>
        <v>0</v>
      </c>
    </row>
    <row r="77" spans="1:6" x14ac:dyDescent="0.2">
      <c r="A77">
        <v>197501197512</v>
      </c>
      <c r="B77">
        <v>1696.65</v>
      </c>
      <c r="C77">
        <f t="shared" si="4"/>
        <v>1975</v>
      </c>
      <c r="D77">
        <f t="shared" si="5"/>
        <v>1696.65</v>
      </c>
      <c r="E77">
        <f t="shared" si="6"/>
        <v>124.89761484926991</v>
      </c>
      <c r="F77">
        <f t="shared" si="7"/>
        <v>0</v>
      </c>
    </row>
    <row r="78" spans="1:6" x14ac:dyDescent="0.2">
      <c r="A78">
        <v>197601197612</v>
      </c>
      <c r="B78">
        <v>1294.75</v>
      </c>
      <c r="C78">
        <f t="shared" si="4"/>
        <v>1976</v>
      </c>
      <c r="D78">
        <f t="shared" si="5"/>
        <v>1294.75</v>
      </c>
      <c r="E78">
        <f t="shared" si="6"/>
        <v>95.312048345912359</v>
      </c>
      <c r="F78">
        <f t="shared" si="7"/>
        <v>1</v>
      </c>
    </row>
    <row r="79" spans="1:6" x14ac:dyDescent="0.2">
      <c r="A79">
        <v>197701197712</v>
      </c>
      <c r="B79">
        <v>1316.19</v>
      </c>
      <c r="C79">
        <f t="shared" si="4"/>
        <v>1977</v>
      </c>
      <c r="D79">
        <f t="shared" si="5"/>
        <v>1316.19</v>
      </c>
      <c r="E79">
        <f t="shared" si="6"/>
        <v>96.890337835417185</v>
      </c>
      <c r="F79">
        <f t="shared" si="7"/>
        <v>2</v>
      </c>
    </row>
    <row r="80" spans="1:6" x14ac:dyDescent="0.2">
      <c r="A80">
        <v>197801197812</v>
      </c>
      <c r="B80">
        <v>1311.5</v>
      </c>
      <c r="C80">
        <f t="shared" si="4"/>
        <v>1978</v>
      </c>
      <c r="D80">
        <f t="shared" si="5"/>
        <v>1311.5</v>
      </c>
      <c r="E80">
        <f t="shared" si="6"/>
        <v>96.545087009588002</v>
      </c>
      <c r="F80">
        <f t="shared" si="7"/>
        <v>3</v>
      </c>
    </row>
    <row r="81" spans="1:6" x14ac:dyDescent="0.2">
      <c r="A81">
        <v>197901197912</v>
      </c>
      <c r="B81">
        <v>1353.15</v>
      </c>
      <c r="C81">
        <f t="shared" si="4"/>
        <v>1979</v>
      </c>
      <c r="D81">
        <f t="shared" si="5"/>
        <v>1353.15</v>
      </c>
      <c r="E81">
        <f t="shared" si="6"/>
        <v>99.611120462847126</v>
      </c>
      <c r="F81">
        <f t="shared" si="7"/>
        <v>4</v>
      </c>
    </row>
    <row r="82" spans="1:6" x14ac:dyDescent="0.2">
      <c r="A82">
        <v>198001198012</v>
      </c>
      <c r="B82">
        <v>1414.14</v>
      </c>
      <c r="C82">
        <f t="shared" si="4"/>
        <v>1980</v>
      </c>
      <c r="D82">
        <f t="shared" si="5"/>
        <v>1414.14</v>
      </c>
      <c r="E82">
        <f t="shared" si="6"/>
        <v>104.10085348359802</v>
      </c>
      <c r="F82">
        <f t="shared" si="7"/>
        <v>0</v>
      </c>
    </row>
    <row r="83" spans="1:6" x14ac:dyDescent="0.2">
      <c r="A83">
        <v>198101198112</v>
      </c>
      <c r="B83">
        <v>1385.83</v>
      </c>
      <c r="C83">
        <f t="shared" si="4"/>
        <v>1981</v>
      </c>
      <c r="D83">
        <f t="shared" si="5"/>
        <v>1385.83</v>
      </c>
      <c r="E83">
        <f t="shared" si="6"/>
        <v>102.01683410636473</v>
      </c>
      <c r="F83">
        <f t="shared" si="7"/>
        <v>0</v>
      </c>
    </row>
    <row r="84" spans="1:6" x14ac:dyDescent="0.2">
      <c r="A84">
        <v>198201198212</v>
      </c>
      <c r="B84">
        <v>1114.93</v>
      </c>
      <c r="C84">
        <f t="shared" si="4"/>
        <v>1982</v>
      </c>
      <c r="D84">
        <f t="shared" si="5"/>
        <v>1114.93</v>
      </c>
      <c r="E84">
        <f t="shared" si="6"/>
        <v>82.074734166679349</v>
      </c>
      <c r="F84">
        <f t="shared" si="7"/>
        <v>1</v>
      </c>
    </row>
    <row r="85" spans="1:6" x14ac:dyDescent="0.2">
      <c r="A85">
        <v>198301198312</v>
      </c>
      <c r="B85">
        <v>1189.49</v>
      </c>
      <c r="C85">
        <f t="shared" si="4"/>
        <v>1983</v>
      </c>
      <c r="D85">
        <f t="shared" si="5"/>
        <v>1189.49</v>
      </c>
      <c r="E85">
        <f t="shared" si="6"/>
        <v>87.563412540628931</v>
      </c>
      <c r="F85">
        <f t="shared" si="7"/>
        <v>2</v>
      </c>
    </row>
    <row r="86" spans="1:6" x14ac:dyDescent="0.2">
      <c r="A86">
        <v>198401198412</v>
      </c>
      <c r="B86">
        <v>1457.08</v>
      </c>
      <c r="C86">
        <f t="shared" si="4"/>
        <v>1984</v>
      </c>
      <c r="D86">
        <f t="shared" si="5"/>
        <v>1457.08</v>
      </c>
      <c r="E86">
        <f t="shared" si="6"/>
        <v>107.26184931752228</v>
      </c>
      <c r="F86">
        <f t="shared" si="7"/>
        <v>0</v>
      </c>
    </row>
    <row r="87" spans="1:6" x14ac:dyDescent="0.2">
      <c r="A87">
        <v>198501198512</v>
      </c>
      <c r="B87">
        <v>1275.54</v>
      </c>
      <c r="C87">
        <f t="shared" si="4"/>
        <v>1985</v>
      </c>
      <c r="D87">
        <f t="shared" si="5"/>
        <v>1275.54</v>
      </c>
      <c r="E87">
        <f t="shared" si="6"/>
        <v>93.897918630735703</v>
      </c>
      <c r="F87">
        <f t="shared" si="7"/>
        <v>1</v>
      </c>
    </row>
    <row r="88" spans="1:6" x14ac:dyDescent="0.2">
      <c r="A88">
        <v>198601198612</v>
      </c>
      <c r="B88">
        <v>1439.25</v>
      </c>
      <c r="C88">
        <f t="shared" si="4"/>
        <v>1986</v>
      </c>
      <c r="D88">
        <f t="shared" si="5"/>
        <v>1439.25</v>
      </c>
      <c r="E88">
        <f t="shared" si="6"/>
        <v>105.94930726538279</v>
      </c>
      <c r="F88">
        <f t="shared" si="7"/>
        <v>0</v>
      </c>
    </row>
    <row r="89" spans="1:6" x14ac:dyDescent="0.2">
      <c r="A89">
        <v>198701198712</v>
      </c>
      <c r="B89">
        <v>1239.5</v>
      </c>
      <c r="C89">
        <f t="shared" si="4"/>
        <v>1987</v>
      </c>
      <c r="D89">
        <f t="shared" si="5"/>
        <v>1239.5</v>
      </c>
      <c r="E89">
        <f t="shared" si="6"/>
        <v>91.244861111997196</v>
      </c>
      <c r="F89">
        <f t="shared" si="7"/>
        <v>1</v>
      </c>
    </row>
    <row r="90" spans="1:6" x14ac:dyDescent="0.2">
      <c r="A90">
        <v>198801198812</v>
      </c>
      <c r="B90">
        <v>1390.42</v>
      </c>
      <c r="C90">
        <f t="shared" si="4"/>
        <v>1988</v>
      </c>
      <c r="D90">
        <f t="shared" si="5"/>
        <v>1390.42</v>
      </c>
      <c r="E90">
        <f t="shared" si="6"/>
        <v>102.35472350733615</v>
      </c>
      <c r="F90">
        <f t="shared" si="7"/>
        <v>0</v>
      </c>
    </row>
    <row r="91" spans="1:6" x14ac:dyDescent="0.2">
      <c r="A91">
        <v>198901198912</v>
      </c>
      <c r="B91">
        <v>1211.01</v>
      </c>
      <c r="C91">
        <f t="shared" si="4"/>
        <v>1989</v>
      </c>
      <c r="D91">
        <f t="shared" si="5"/>
        <v>1211.01</v>
      </c>
      <c r="E91">
        <f t="shared" si="6"/>
        <v>89.14759117001995</v>
      </c>
      <c r="F91">
        <f t="shared" si="7"/>
        <v>1</v>
      </c>
    </row>
    <row r="92" spans="1:6" x14ac:dyDescent="0.2">
      <c r="A92">
        <v>199001199012</v>
      </c>
      <c r="B92">
        <v>1330.34</v>
      </c>
      <c r="C92">
        <f t="shared" si="4"/>
        <v>1990</v>
      </c>
      <c r="D92">
        <f t="shared" si="5"/>
        <v>1330.34</v>
      </c>
      <c r="E92">
        <f t="shared" si="6"/>
        <v>97.931979452790912</v>
      </c>
      <c r="F92">
        <f t="shared" si="7"/>
        <v>2</v>
      </c>
    </row>
    <row r="93" spans="1:6" x14ac:dyDescent="0.2">
      <c r="A93">
        <v>199101199112</v>
      </c>
      <c r="B93">
        <v>1389.25</v>
      </c>
      <c r="C93">
        <f t="shared" si="4"/>
        <v>1991</v>
      </c>
      <c r="D93">
        <f t="shared" si="5"/>
        <v>1389.25</v>
      </c>
      <c r="E93">
        <f t="shared" si="6"/>
        <v>102.26859483650028</v>
      </c>
      <c r="F93">
        <f t="shared" si="7"/>
        <v>0</v>
      </c>
    </row>
    <row r="94" spans="1:6" x14ac:dyDescent="0.2">
      <c r="A94">
        <v>199201199212</v>
      </c>
      <c r="B94">
        <v>1434.38</v>
      </c>
      <c r="C94">
        <f t="shared" si="4"/>
        <v>1992</v>
      </c>
      <c r="D94">
        <f t="shared" si="5"/>
        <v>1434.38</v>
      </c>
      <c r="E94">
        <f t="shared" si="6"/>
        <v>105.59080587480965</v>
      </c>
      <c r="F94">
        <f t="shared" si="7"/>
        <v>0</v>
      </c>
    </row>
    <row r="95" spans="1:6" x14ac:dyDescent="0.2">
      <c r="A95">
        <v>199301199312</v>
      </c>
      <c r="B95">
        <v>1422.78</v>
      </c>
      <c r="C95">
        <f t="shared" si="4"/>
        <v>1993</v>
      </c>
      <c r="D95">
        <f t="shared" si="5"/>
        <v>1422.78</v>
      </c>
      <c r="E95">
        <f t="shared" si="6"/>
        <v>104.7368805913089</v>
      </c>
      <c r="F95">
        <f t="shared" si="7"/>
        <v>0</v>
      </c>
    </row>
    <row r="96" spans="1:6" x14ac:dyDescent="0.2">
      <c r="A96">
        <v>199401199412</v>
      </c>
      <c r="B96">
        <v>1355.47</v>
      </c>
      <c r="C96">
        <f t="shared" si="4"/>
        <v>1994</v>
      </c>
      <c r="D96">
        <f t="shared" si="5"/>
        <v>1355.47</v>
      </c>
      <c r="E96">
        <f t="shared" si="6"/>
        <v>99.78190551954728</v>
      </c>
      <c r="F96">
        <f t="shared" si="7"/>
        <v>1</v>
      </c>
    </row>
    <row r="97" spans="1:6" x14ac:dyDescent="0.2">
      <c r="A97">
        <v>199501199512</v>
      </c>
      <c r="B97">
        <v>1343.13</v>
      </c>
      <c r="C97">
        <f t="shared" si="4"/>
        <v>1995</v>
      </c>
      <c r="D97">
        <f t="shared" si="5"/>
        <v>1343.13</v>
      </c>
      <c r="E97">
        <f t="shared" si="6"/>
        <v>98.873505692099073</v>
      </c>
      <c r="F97">
        <f t="shared" si="7"/>
        <v>2</v>
      </c>
    </row>
    <row r="98" spans="1:6" x14ac:dyDescent="0.2">
      <c r="A98">
        <v>199601199612</v>
      </c>
      <c r="B98">
        <v>1611.54</v>
      </c>
      <c r="C98">
        <f t="shared" si="4"/>
        <v>1996</v>
      </c>
      <c r="D98">
        <f t="shared" si="5"/>
        <v>1611.54</v>
      </c>
      <c r="E98">
        <f t="shared" si="6"/>
        <v>118.63230615282612</v>
      </c>
      <c r="F98">
        <f t="shared" si="7"/>
        <v>0</v>
      </c>
    </row>
    <row r="99" spans="1:6" x14ac:dyDescent="0.2">
      <c r="A99">
        <v>199701199712</v>
      </c>
      <c r="B99">
        <v>1214.55</v>
      </c>
      <c r="C99">
        <f t="shared" si="4"/>
        <v>1997</v>
      </c>
      <c r="D99">
        <f t="shared" si="5"/>
        <v>1214.55</v>
      </c>
      <c r="E99">
        <f t="shared" si="6"/>
        <v>89.408185609984827</v>
      </c>
      <c r="F99">
        <f t="shared" si="7"/>
        <v>1</v>
      </c>
    </row>
    <row r="100" spans="1:6" x14ac:dyDescent="0.2">
      <c r="A100">
        <v>199801199812</v>
      </c>
      <c r="B100">
        <v>1256.71</v>
      </c>
      <c r="C100">
        <f t="shared" si="4"/>
        <v>1998</v>
      </c>
      <c r="D100">
        <f t="shared" si="5"/>
        <v>1256.71</v>
      </c>
      <c r="E100">
        <f t="shared" si="6"/>
        <v>92.511762330018556</v>
      </c>
      <c r="F100">
        <f t="shared" si="7"/>
        <v>2</v>
      </c>
    </row>
    <row r="101" spans="1:6" x14ac:dyDescent="0.2">
      <c r="A101">
        <v>199901199912</v>
      </c>
      <c r="B101">
        <v>1178.0999999999999</v>
      </c>
      <c r="C101">
        <f t="shared" si="4"/>
        <v>1999</v>
      </c>
      <c r="D101">
        <f t="shared" si="5"/>
        <v>1178.0999999999999</v>
      </c>
      <c r="E101">
        <f t="shared" si="6"/>
        <v>86.724946249329477</v>
      </c>
      <c r="F101">
        <f t="shared" si="7"/>
        <v>3</v>
      </c>
    </row>
    <row r="102" spans="1:6" x14ac:dyDescent="0.2">
      <c r="A102">
        <v>200001200012</v>
      </c>
      <c r="B102">
        <v>1304.3399999999999</v>
      </c>
      <c r="C102">
        <f t="shared" si="4"/>
        <v>2000</v>
      </c>
      <c r="D102">
        <f t="shared" si="5"/>
        <v>1304.3399999999999</v>
      </c>
      <c r="E102">
        <f t="shared" si="6"/>
        <v>96.018008989772014</v>
      </c>
      <c r="F102">
        <f t="shared" si="7"/>
        <v>4</v>
      </c>
    </row>
    <row r="103" spans="1:6" x14ac:dyDescent="0.2">
      <c r="A103">
        <v>200101200112</v>
      </c>
      <c r="B103">
        <v>1325.18</v>
      </c>
      <c r="C103">
        <f t="shared" si="4"/>
        <v>2001</v>
      </c>
      <c r="D103">
        <f t="shared" si="5"/>
        <v>1325.18</v>
      </c>
      <c r="E103">
        <f t="shared" si="6"/>
        <v>97.552129930130263</v>
      </c>
      <c r="F103">
        <f t="shared" si="7"/>
        <v>5</v>
      </c>
    </row>
    <row r="104" spans="1:6" x14ac:dyDescent="0.2">
      <c r="A104">
        <v>200201200212</v>
      </c>
      <c r="B104">
        <v>1343.39</v>
      </c>
      <c r="C104">
        <f t="shared" si="4"/>
        <v>2002</v>
      </c>
      <c r="D104">
        <f t="shared" si="5"/>
        <v>1343.39</v>
      </c>
      <c r="E104">
        <f t="shared" si="6"/>
        <v>98.892645396729264</v>
      </c>
      <c r="F104">
        <f t="shared" si="7"/>
        <v>6</v>
      </c>
    </row>
    <row r="105" spans="1:6" x14ac:dyDescent="0.2">
      <c r="A105">
        <v>200301200312</v>
      </c>
      <c r="B105">
        <v>1390.01</v>
      </c>
      <c r="C105">
        <f t="shared" si="4"/>
        <v>2003</v>
      </c>
      <c r="D105">
        <f t="shared" si="5"/>
        <v>1390.01</v>
      </c>
      <c r="E105">
        <f t="shared" si="6"/>
        <v>102.3245416654193</v>
      </c>
      <c r="F105">
        <f t="shared" si="7"/>
        <v>0</v>
      </c>
    </row>
    <row r="106" spans="1:6" x14ac:dyDescent="0.2">
      <c r="A106">
        <v>200401200412</v>
      </c>
      <c r="B106">
        <v>1407.08</v>
      </c>
      <c r="C106">
        <f t="shared" si="4"/>
        <v>2004</v>
      </c>
      <c r="D106">
        <f t="shared" si="5"/>
        <v>1407.08</v>
      </c>
      <c r="E106">
        <f t="shared" si="6"/>
        <v>103.58113688863979</v>
      </c>
      <c r="F106">
        <f t="shared" si="7"/>
        <v>0</v>
      </c>
    </row>
    <row r="107" spans="1:6" x14ac:dyDescent="0.2">
      <c r="A107">
        <v>200501200512</v>
      </c>
      <c r="B107">
        <v>1436.73</v>
      </c>
      <c r="C107">
        <f t="shared" si="4"/>
        <v>2005</v>
      </c>
      <c r="D107">
        <f t="shared" si="5"/>
        <v>1436.73</v>
      </c>
      <c r="E107">
        <f t="shared" si="6"/>
        <v>105.76379935896712</v>
      </c>
      <c r="F107">
        <f t="shared" si="7"/>
        <v>0</v>
      </c>
    </row>
    <row r="108" spans="1:6" x14ac:dyDescent="0.2">
      <c r="A108">
        <v>200601200612</v>
      </c>
      <c r="B108">
        <v>1032.0999999999999</v>
      </c>
      <c r="C108">
        <f t="shared" si="4"/>
        <v>2006</v>
      </c>
      <c r="D108">
        <f t="shared" si="5"/>
        <v>1032.0999999999999</v>
      </c>
      <c r="E108">
        <f t="shared" si="6"/>
        <v>75.977265956992582</v>
      </c>
      <c r="F108">
        <f t="shared" si="7"/>
        <v>1</v>
      </c>
    </row>
    <row r="109" spans="1:6" x14ac:dyDescent="0.2">
      <c r="A109">
        <v>200701200712</v>
      </c>
      <c r="B109">
        <v>1214.8499999999999</v>
      </c>
      <c r="C109">
        <f t="shared" si="4"/>
        <v>2007</v>
      </c>
      <c r="D109">
        <f t="shared" si="5"/>
        <v>1214.8499999999999</v>
      </c>
      <c r="E109">
        <f t="shared" si="6"/>
        <v>89.430269884558129</v>
      </c>
      <c r="F109">
        <f t="shared" si="7"/>
        <v>2</v>
      </c>
    </row>
    <row r="110" spans="1:6" x14ac:dyDescent="0.2">
      <c r="A110">
        <v>200801200812</v>
      </c>
      <c r="B110">
        <v>1136.4000000000001</v>
      </c>
      <c r="C110">
        <f t="shared" si="4"/>
        <v>2008</v>
      </c>
      <c r="D110">
        <f t="shared" si="5"/>
        <v>1136.4000000000001</v>
      </c>
      <c r="E110">
        <f t="shared" si="6"/>
        <v>83.655232083641479</v>
      </c>
      <c r="F110">
        <f t="shared" si="7"/>
        <v>3</v>
      </c>
    </row>
    <row r="111" spans="1:6" x14ac:dyDescent="0.2">
      <c r="A111">
        <v>200901200912</v>
      </c>
      <c r="B111">
        <v>1485.71</v>
      </c>
      <c r="C111">
        <f t="shared" si="4"/>
        <v>2009</v>
      </c>
      <c r="D111">
        <f t="shared" si="5"/>
        <v>1485.71</v>
      </c>
      <c r="E111">
        <f t="shared" si="6"/>
        <v>109.36942525430042</v>
      </c>
      <c r="F111">
        <f t="shared" si="7"/>
        <v>0</v>
      </c>
    </row>
    <row r="112" spans="1:6" x14ac:dyDescent="0.2">
      <c r="A112">
        <v>201001201012</v>
      </c>
      <c r="B112">
        <v>1359.15</v>
      </c>
      <c r="C112">
        <f t="shared" si="4"/>
        <v>2010</v>
      </c>
      <c r="D112">
        <f t="shared" si="5"/>
        <v>1359.15</v>
      </c>
      <c r="E112">
        <f t="shared" si="6"/>
        <v>100.05280595431303</v>
      </c>
      <c r="F112">
        <f t="shared" si="7"/>
        <v>0</v>
      </c>
    </row>
    <row r="113" spans="1:6" x14ac:dyDescent="0.2">
      <c r="A113">
        <v>201101201112</v>
      </c>
      <c r="B113">
        <v>1419.09</v>
      </c>
      <c r="C113">
        <f t="shared" si="4"/>
        <v>2011</v>
      </c>
      <c r="D113">
        <f t="shared" si="5"/>
        <v>1419.09</v>
      </c>
      <c r="E113">
        <f t="shared" si="6"/>
        <v>104.46524401405736</v>
      </c>
      <c r="F113">
        <f t="shared" si="7"/>
        <v>0</v>
      </c>
    </row>
    <row r="114" spans="1:6" x14ac:dyDescent="0.2">
      <c r="A114">
        <v>201201201212</v>
      </c>
      <c r="B114">
        <v>1312.95</v>
      </c>
      <c r="C114">
        <f t="shared" si="4"/>
        <v>2012</v>
      </c>
      <c r="D114">
        <f t="shared" si="5"/>
        <v>1312.95</v>
      </c>
      <c r="E114">
        <f t="shared" si="6"/>
        <v>96.651827670025597</v>
      </c>
      <c r="F114">
        <f t="shared" si="7"/>
        <v>1</v>
      </c>
    </row>
    <row r="115" spans="1:6" x14ac:dyDescent="0.2">
      <c r="A115">
        <v>201301201312</v>
      </c>
      <c r="B115">
        <v>1507.61</v>
      </c>
      <c r="C115">
        <f t="shared" si="4"/>
        <v>2013</v>
      </c>
      <c r="D115">
        <f t="shared" si="5"/>
        <v>1507.61</v>
      </c>
      <c r="E115">
        <f t="shared" si="6"/>
        <v>110.98157729815095</v>
      </c>
      <c r="F115">
        <f t="shared" si="7"/>
        <v>0</v>
      </c>
    </row>
    <row r="116" spans="1:6" x14ac:dyDescent="0.2">
      <c r="A116">
        <v>201401201412</v>
      </c>
      <c r="B116">
        <v>1150.6300000000001</v>
      </c>
      <c r="C116">
        <f t="shared" si="4"/>
        <v>2014</v>
      </c>
      <c r="D116">
        <f t="shared" si="5"/>
        <v>1150.6300000000001</v>
      </c>
      <c r="E116">
        <f t="shared" si="6"/>
        <v>84.702762840901443</v>
      </c>
      <c r="F116">
        <f t="shared" si="7"/>
        <v>1</v>
      </c>
    </row>
    <row r="117" spans="1:6" x14ac:dyDescent="0.2">
      <c r="A117">
        <v>201501201512</v>
      </c>
      <c r="B117">
        <v>1095.5</v>
      </c>
      <c r="C117">
        <f t="shared" si="4"/>
        <v>2015</v>
      </c>
      <c r="D117">
        <f t="shared" si="5"/>
        <v>1095.5</v>
      </c>
      <c r="E117">
        <f t="shared" si="6"/>
        <v>80.644409316815597</v>
      </c>
      <c r="F117">
        <f t="shared" si="7"/>
        <v>2</v>
      </c>
    </row>
    <row r="118" spans="1:6" x14ac:dyDescent="0.2">
      <c r="A118">
        <v>201601201612</v>
      </c>
      <c r="B118">
        <v>1762.37</v>
      </c>
      <c r="C118">
        <f t="shared" si="4"/>
        <v>2016</v>
      </c>
      <c r="D118">
        <f t="shared" si="5"/>
        <v>1762.37</v>
      </c>
      <c r="E118">
        <f t="shared" si="6"/>
        <v>129.73554326579307</v>
      </c>
      <c r="F118">
        <f t="shared" si="7"/>
        <v>0</v>
      </c>
    </row>
    <row r="119" spans="1:6" x14ac:dyDescent="0.2">
      <c r="A119">
        <v>201701201712</v>
      </c>
      <c r="B119">
        <v>1152.22</v>
      </c>
      <c r="C119">
        <f t="shared" si="4"/>
        <v>2017</v>
      </c>
      <c r="D119">
        <f t="shared" si="5"/>
        <v>1152.22</v>
      </c>
      <c r="E119">
        <f t="shared" si="6"/>
        <v>84.819809496139911</v>
      </c>
      <c r="F119">
        <f t="shared" si="7"/>
        <v>1</v>
      </c>
    </row>
    <row r="120" spans="1:6" x14ac:dyDescent="0.2">
      <c r="A120">
        <v>201801201812</v>
      </c>
      <c r="B120">
        <v>1355.05</v>
      </c>
      <c r="C120">
        <f t="shared" si="4"/>
        <v>2018</v>
      </c>
      <c r="D120">
        <f t="shared" si="5"/>
        <v>1355.05</v>
      </c>
      <c r="E120">
        <f t="shared" si="6"/>
        <v>99.75098753514466</v>
      </c>
      <c r="F120">
        <f t="shared" si="7"/>
        <v>2</v>
      </c>
    </row>
    <row r="121" spans="1:6" x14ac:dyDescent="0.2">
      <c r="A121">
        <v>201901201912</v>
      </c>
      <c r="B121">
        <v>1306.78</v>
      </c>
      <c r="C121">
        <f t="shared" si="4"/>
        <v>2019</v>
      </c>
      <c r="D121">
        <f t="shared" si="5"/>
        <v>1306.78</v>
      </c>
      <c r="E121">
        <f t="shared" si="6"/>
        <v>96.197627756301486</v>
      </c>
      <c r="F121">
        <f t="shared" si="7"/>
        <v>3</v>
      </c>
    </row>
    <row r="122" spans="1:6" x14ac:dyDescent="0.2">
      <c r="A122">
        <v>202001202012</v>
      </c>
      <c r="B122">
        <v>1302.19</v>
      </c>
      <c r="C122">
        <f t="shared" si="4"/>
        <v>2020</v>
      </c>
      <c r="D122">
        <f t="shared" si="5"/>
        <v>1302.19</v>
      </c>
      <c r="E122">
        <f t="shared" si="6"/>
        <v>95.85973835533008</v>
      </c>
      <c r="F122">
        <f t="shared" si="7"/>
        <v>4</v>
      </c>
    </row>
    <row r="123" spans="1:6" x14ac:dyDescent="0.2">
      <c r="A123">
        <v>202101202112</v>
      </c>
      <c r="B123">
        <v>1375.56</v>
      </c>
      <c r="C123">
        <f t="shared" si="4"/>
        <v>2021</v>
      </c>
      <c r="D123">
        <f t="shared" si="5"/>
        <v>1375.56</v>
      </c>
      <c r="E123">
        <f t="shared" si="6"/>
        <v>101.26081577347226</v>
      </c>
      <c r="F123">
        <f t="shared" si="7"/>
        <v>0</v>
      </c>
    </row>
    <row r="124" spans="1:6" x14ac:dyDescent="0.2">
      <c r="A124">
        <v>202201202212</v>
      </c>
      <c r="B124">
        <v>1324.39</v>
      </c>
      <c r="C124">
        <f t="shared" si="4"/>
        <v>2022</v>
      </c>
      <c r="D124">
        <f t="shared" si="5"/>
        <v>1324.39</v>
      </c>
      <c r="E124">
        <f t="shared" si="6"/>
        <v>97.493974673753911</v>
      </c>
      <c r="F124">
        <f t="shared" si="7"/>
        <v>1</v>
      </c>
    </row>
    <row r="125" spans="1:6" x14ac:dyDescent="0.2">
      <c r="A125">
        <v>202301202312</v>
      </c>
      <c r="B125">
        <v>1204.08</v>
      </c>
      <c r="C125">
        <f t="shared" si="4"/>
        <v>2023</v>
      </c>
      <c r="D125">
        <f t="shared" si="5"/>
        <v>1204.08</v>
      </c>
      <c r="E125">
        <f t="shared" si="6"/>
        <v>88.637444427376835</v>
      </c>
      <c r="F125">
        <f t="shared" si="7"/>
        <v>2</v>
      </c>
    </row>
    <row r="126" spans="1:6" x14ac:dyDescent="0.2">
      <c r="A126">
        <v>202401202412</v>
      </c>
      <c r="B126">
        <v>1271.5899999999999</v>
      </c>
      <c r="C126">
        <f t="shared" si="4"/>
        <v>2024</v>
      </c>
      <c r="D126">
        <f t="shared" si="5"/>
        <v>1271.5899999999999</v>
      </c>
      <c r="E126">
        <f t="shared" si="6"/>
        <v>93.607142348853984</v>
      </c>
      <c r="F126">
        <f t="shared" si="7"/>
        <v>3</v>
      </c>
    </row>
    <row r="127" spans="1:6" x14ac:dyDescent="0.2">
      <c r="A127">
        <v>202501202512</v>
      </c>
      <c r="B127">
        <v>1218.1199999999999</v>
      </c>
      <c r="C127">
        <f t="shared" si="4"/>
        <v>2025</v>
      </c>
      <c r="D127">
        <f t="shared" si="5"/>
        <v>1218.1199999999999</v>
      </c>
      <c r="E127">
        <f t="shared" si="6"/>
        <v>89.670988477407036</v>
      </c>
      <c r="F127">
        <f t="shared" si="7"/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09D83-789B-AA49-9B0D-B968888CF388}">
  <dimension ref="A1:H127"/>
  <sheetViews>
    <sheetView workbookViewId="0">
      <selection activeCell="G23" sqref="G23"/>
    </sheetView>
  </sheetViews>
  <sheetFormatPr baseColWidth="10" defaultRowHeight="16" x14ac:dyDescent="0.2"/>
  <cols>
    <col min="1" max="1" width="12.1640625" bestFit="1" customWidth="1"/>
    <col min="2" max="2" width="8.1640625" bestFit="1" customWidth="1"/>
    <col min="7" max="7" width="13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8" x14ac:dyDescent="0.2">
      <c r="A2">
        <v>190001190012</v>
      </c>
      <c r="B2">
        <v>340.64</v>
      </c>
      <c r="C2">
        <f>INT(A2/100000000)</f>
        <v>1900</v>
      </c>
      <c r="D2">
        <f>B2</f>
        <v>340.64</v>
      </c>
      <c r="E2">
        <f>D2 / $G$2 * 100</f>
        <v>62.49468722996604</v>
      </c>
      <c r="F2">
        <f>IF(E2&lt;100, 1, 0)</f>
        <v>1</v>
      </c>
      <c r="G2">
        <f>AVERAGEIFS(D:D, C:C, "&gt;=1961", C:C, "&lt;=1990")</f>
        <v>545.07033333333334</v>
      </c>
    </row>
    <row r="3" spans="1:8" x14ac:dyDescent="0.2">
      <c r="A3">
        <v>190101190112</v>
      </c>
      <c r="B3">
        <v>490.9</v>
      </c>
      <c r="C3">
        <f t="shared" ref="C3:C66" si="0">INT(A3/100000000)</f>
        <v>1901</v>
      </c>
      <c r="D3">
        <f t="shared" ref="D3:D66" si="1">B3</f>
        <v>490.9</v>
      </c>
      <c r="E3">
        <f t="shared" ref="E3:E66" si="2">D3 / $G$2 * 100</f>
        <v>90.061771844734409</v>
      </c>
      <c r="F3">
        <f>IF(E3&lt;100, F2+1, 0)</f>
        <v>2</v>
      </c>
    </row>
    <row r="4" spans="1:8" x14ac:dyDescent="0.2">
      <c r="A4">
        <v>190201190212</v>
      </c>
      <c r="B4">
        <v>366.68</v>
      </c>
      <c r="C4">
        <f t="shared" si="0"/>
        <v>1902</v>
      </c>
      <c r="D4">
        <f t="shared" si="1"/>
        <v>366.68</v>
      </c>
      <c r="E4">
        <f t="shared" si="2"/>
        <v>67.272052352876784</v>
      </c>
      <c r="F4">
        <f t="shared" ref="F4:F67" si="3">IF(E4&lt;100, F3+1, 0)</f>
        <v>3</v>
      </c>
      <c r="G4" t="s">
        <v>7</v>
      </c>
      <c r="H4">
        <f>AVERAGEIFS(E:E, C:C, "&gt;=1900", C:C, "&lt;=1902")</f>
        <v>73.276170475859075</v>
      </c>
    </row>
    <row r="5" spans="1:8" x14ac:dyDescent="0.2">
      <c r="A5">
        <v>190301190312</v>
      </c>
      <c r="B5">
        <v>589.13</v>
      </c>
      <c r="C5">
        <f t="shared" si="0"/>
        <v>1903</v>
      </c>
      <c r="D5">
        <f t="shared" si="1"/>
        <v>589.13</v>
      </c>
      <c r="E5">
        <f t="shared" si="2"/>
        <v>108.08329934179748</v>
      </c>
      <c r="F5">
        <f t="shared" si="3"/>
        <v>0</v>
      </c>
      <c r="G5" t="s">
        <v>8</v>
      </c>
      <c r="H5">
        <f>AVERAGEIFS(E:E, C:C, "&gt;=1937", C:C, "&lt;=1945")</f>
        <v>95.697537912028864</v>
      </c>
    </row>
    <row r="6" spans="1:8" x14ac:dyDescent="0.2">
      <c r="A6">
        <v>190401190412</v>
      </c>
      <c r="B6">
        <v>740.71</v>
      </c>
      <c r="C6">
        <f t="shared" si="0"/>
        <v>1904</v>
      </c>
      <c r="D6">
        <f t="shared" si="1"/>
        <v>740.71</v>
      </c>
      <c r="E6">
        <f t="shared" si="2"/>
        <v>135.89255453883322</v>
      </c>
      <c r="F6">
        <f t="shared" si="3"/>
        <v>0</v>
      </c>
      <c r="G6" t="s">
        <v>9</v>
      </c>
      <c r="H6">
        <f>AVERAGEIFS(E:E, C:C, "&gt;=1997", C:C, "&lt;=2009")</f>
        <v>116.07845668281905</v>
      </c>
    </row>
    <row r="7" spans="1:8" x14ac:dyDescent="0.2">
      <c r="A7">
        <v>190501190512</v>
      </c>
      <c r="B7">
        <v>322.13</v>
      </c>
      <c r="C7">
        <f t="shared" si="0"/>
        <v>1905</v>
      </c>
      <c r="D7">
        <f t="shared" si="1"/>
        <v>322.13</v>
      </c>
      <c r="E7">
        <f t="shared" si="2"/>
        <v>59.098795201353212</v>
      </c>
      <c r="F7">
        <f t="shared" si="3"/>
        <v>1</v>
      </c>
      <c r="G7" t="s">
        <v>10</v>
      </c>
      <c r="H7">
        <f>AVERAGEIFS(E:E, C:C, "&gt;=2017", C:C, "&lt;=2019")</f>
        <v>84.474725280101467</v>
      </c>
    </row>
    <row r="8" spans="1:8" x14ac:dyDescent="0.2">
      <c r="A8">
        <v>190601190612</v>
      </c>
      <c r="B8">
        <v>436.48</v>
      </c>
      <c r="C8">
        <f t="shared" si="0"/>
        <v>1906</v>
      </c>
      <c r="D8">
        <f t="shared" si="1"/>
        <v>436.48</v>
      </c>
      <c r="E8">
        <f t="shared" si="2"/>
        <v>80.077739203075325</v>
      </c>
      <c r="F8">
        <f t="shared" si="3"/>
        <v>2</v>
      </c>
      <c r="G8" t="s">
        <v>11</v>
      </c>
      <c r="H8">
        <f>COUNTIF(E:E, "&lt;80")</f>
        <v>30</v>
      </c>
    </row>
    <row r="9" spans="1:8" x14ac:dyDescent="0.2">
      <c r="A9">
        <v>190701190712</v>
      </c>
      <c r="B9">
        <v>550.33000000000004</v>
      </c>
      <c r="C9">
        <f t="shared" si="0"/>
        <v>1907</v>
      </c>
      <c r="D9">
        <f t="shared" si="1"/>
        <v>550.33000000000004</v>
      </c>
      <c r="E9">
        <f t="shared" si="2"/>
        <v>100.96495192363555</v>
      </c>
      <c r="F9">
        <f t="shared" si="3"/>
        <v>0</v>
      </c>
      <c r="G9" t="s">
        <v>12</v>
      </c>
      <c r="H9">
        <f>MAX(F:F)</f>
        <v>9</v>
      </c>
    </row>
    <row r="10" spans="1:8" x14ac:dyDescent="0.2">
      <c r="A10">
        <v>190801190812</v>
      </c>
      <c r="B10">
        <v>494.9</v>
      </c>
      <c r="C10">
        <f t="shared" si="0"/>
        <v>1908</v>
      </c>
      <c r="D10">
        <f t="shared" si="1"/>
        <v>494.9</v>
      </c>
      <c r="E10">
        <f t="shared" si="2"/>
        <v>90.795622094029454</v>
      </c>
      <c r="F10">
        <f t="shared" si="3"/>
        <v>1</v>
      </c>
      <c r="G10" t="s">
        <v>13</v>
      </c>
      <c r="H10">
        <f>INDEX(C:C, MATCH(H9, F:F, 0))</f>
        <v>1966</v>
      </c>
    </row>
    <row r="11" spans="1:8" x14ac:dyDescent="0.2">
      <c r="A11">
        <v>190901190912</v>
      </c>
      <c r="B11">
        <v>403.15</v>
      </c>
      <c r="C11">
        <f t="shared" si="0"/>
        <v>1909</v>
      </c>
      <c r="D11">
        <f t="shared" si="1"/>
        <v>403.15</v>
      </c>
      <c r="E11">
        <f t="shared" si="2"/>
        <v>73.962932000824352</v>
      </c>
      <c r="F11">
        <f t="shared" si="3"/>
        <v>2</v>
      </c>
      <c r="G11" t="s">
        <v>14</v>
      </c>
      <c r="H11" t="str">
        <f>(H10-H9+1) &amp; "-" &amp; H10</f>
        <v>1958-1966</v>
      </c>
    </row>
    <row r="12" spans="1:8" x14ac:dyDescent="0.2">
      <c r="A12">
        <v>191001191012</v>
      </c>
      <c r="B12">
        <v>669.93</v>
      </c>
      <c r="C12">
        <f t="shared" si="0"/>
        <v>1910</v>
      </c>
      <c r="D12">
        <f t="shared" si="1"/>
        <v>669.93</v>
      </c>
      <c r="E12">
        <f t="shared" si="2"/>
        <v>122.90707437755739</v>
      </c>
      <c r="F12">
        <f t="shared" si="3"/>
        <v>0</v>
      </c>
    </row>
    <row r="13" spans="1:8" x14ac:dyDescent="0.2">
      <c r="A13">
        <v>191101191112</v>
      </c>
      <c r="B13">
        <v>427.31</v>
      </c>
      <c r="C13">
        <f t="shared" si="0"/>
        <v>1911</v>
      </c>
      <c r="D13">
        <f t="shared" si="1"/>
        <v>427.31</v>
      </c>
      <c r="E13">
        <f t="shared" si="2"/>
        <v>78.395387506566422</v>
      </c>
      <c r="F13">
        <f t="shared" si="3"/>
        <v>1</v>
      </c>
    </row>
    <row r="14" spans="1:8" x14ac:dyDescent="0.2">
      <c r="A14">
        <v>191201191212</v>
      </c>
      <c r="B14">
        <v>401.46</v>
      </c>
      <c r="C14">
        <f t="shared" si="0"/>
        <v>1912</v>
      </c>
      <c r="D14">
        <f t="shared" si="1"/>
        <v>401.46</v>
      </c>
      <c r="E14">
        <f t="shared" si="2"/>
        <v>73.652880270497207</v>
      </c>
      <c r="F14">
        <f t="shared" si="3"/>
        <v>2</v>
      </c>
    </row>
    <row r="15" spans="1:8" x14ac:dyDescent="0.2">
      <c r="A15">
        <v>191301191312</v>
      </c>
      <c r="B15">
        <v>480.62</v>
      </c>
      <c r="C15">
        <f t="shared" si="0"/>
        <v>1913</v>
      </c>
      <c r="D15">
        <f t="shared" si="1"/>
        <v>480.62</v>
      </c>
      <c r="E15">
        <f t="shared" si="2"/>
        <v>88.175776704046143</v>
      </c>
      <c r="F15">
        <f t="shared" si="3"/>
        <v>3</v>
      </c>
    </row>
    <row r="16" spans="1:8" x14ac:dyDescent="0.2">
      <c r="A16">
        <v>191401191412</v>
      </c>
      <c r="B16">
        <v>507.22</v>
      </c>
      <c r="C16">
        <f t="shared" si="0"/>
        <v>1914</v>
      </c>
      <c r="D16">
        <f t="shared" si="1"/>
        <v>507.22</v>
      </c>
      <c r="E16">
        <f t="shared" si="2"/>
        <v>93.055880861858199</v>
      </c>
      <c r="F16">
        <f t="shared" si="3"/>
        <v>4</v>
      </c>
    </row>
    <row r="17" spans="1:6" x14ac:dyDescent="0.2">
      <c r="A17">
        <v>191501191512</v>
      </c>
      <c r="B17">
        <v>425.94</v>
      </c>
      <c r="C17">
        <f t="shared" si="0"/>
        <v>1915</v>
      </c>
      <c r="D17">
        <f t="shared" si="1"/>
        <v>425.94</v>
      </c>
      <c r="E17">
        <f t="shared" si="2"/>
        <v>78.144043796182871</v>
      </c>
      <c r="F17">
        <f t="shared" si="3"/>
        <v>5</v>
      </c>
    </row>
    <row r="18" spans="1:6" x14ac:dyDescent="0.2">
      <c r="A18">
        <v>191601191612</v>
      </c>
      <c r="B18">
        <v>558.35</v>
      </c>
      <c r="C18">
        <f t="shared" si="0"/>
        <v>1916</v>
      </c>
      <c r="D18">
        <f t="shared" si="1"/>
        <v>558.35</v>
      </c>
      <c r="E18">
        <f t="shared" si="2"/>
        <v>102.43632167347212</v>
      </c>
      <c r="F18">
        <f t="shared" si="3"/>
        <v>0</v>
      </c>
    </row>
    <row r="19" spans="1:6" x14ac:dyDescent="0.2">
      <c r="A19">
        <v>191701191712</v>
      </c>
      <c r="B19">
        <v>555.84</v>
      </c>
      <c r="C19">
        <f t="shared" si="0"/>
        <v>1917</v>
      </c>
      <c r="D19">
        <f t="shared" si="1"/>
        <v>555.84</v>
      </c>
      <c r="E19">
        <f t="shared" si="2"/>
        <v>101.97583064203948</v>
      </c>
      <c r="F19">
        <f t="shared" si="3"/>
        <v>0</v>
      </c>
    </row>
    <row r="20" spans="1:6" x14ac:dyDescent="0.2">
      <c r="A20">
        <v>191801191812</v>
      </c>
      <c r="B20">
        <v>455.08</v>
      </c>
      <c r="C20">
        <f t="shared" si="0"/>
        <v>1918</v>
      </c>
      <c r="D20">
        <f t="shared" si="1"/>
        <v>455.08</v>
      </c>
      <c r="E20">
        <f t="shared" si="2"/>
        <v>83.490142862297276</v>
      </c>
      <c r="F20">
        <f t="shared" si="3"/>
        <v>1</v>
      </c>
    </row>
    <row r="21" spans="1:6" x14ac:dyDescent="0.2">
      <c r="A21">
        <v>191901191912</v>
      </c>
      <c r="B21">
        <v>482.84</v>
      </c>
      <c r="C21">
        <f t="shared" si="0"/>
        <v>1919</v>
      </c>
      <c r="D21">
        <f t="shared" si="1"/>
        <v>482.84</v>
      </c>
      <c r="E21">
        <f t="shared" si="2"/>
        <v>88.583063592404883</v>
      </c>
      <c r="F21">
        <f t="shared" si="3"/>
        <v>2</v>
      </c>
    </row>
    <row r="22" spans="1:6" x14ac:dyDescent="0.2">
      <c r="A22">
        <v>192001192012</v>
      </c>
      <c r="B22">
        <v>597.74</v>
      </c>
      <c r="C22">
        <f t="shared" si="0"/>
        <v>1920</v>
      </c>
      <c r="D22">
        <f t="shared" si="1"/>
        <v>597.74</v>
      </c>
      <c r="E22">
        <f t="shared" si="2"/>
        <v>109.66291200340505</v>
      </c>
      <c r="F22">
        <f t="shared" si="3"/>
        <v>0</v>
      </c>
    </row>
    <row r="23" spans="1:6" x14ac:dyDescent="0.2">
      <c r="A23">
        <v>192101192112</v>
      </c>
      <c r="B23">
        <v>653.19000000000005</v>
      </c>
      <c r="C23">
        <f t="shared" si="0"/>
        <v>1921</v>
      </c>
      <c r="D23">
        <f t="shared" si="1"/>
        <v>653.19000000000005</v>
      </c>
      <c r="E23">
        <f t="shared" si="2"/>
        <v>119.83591108425765</v>
      </c>
      <c r="F23">
        <f t="shared" si="3"/>
        <v>0</v>
      </c>
    </row>
    <row r="24" spans="1:6" x14ac:dyDescent="0.2">
      <c r="A24">
        <v>192201192212</v>
      </c>
      <c r="B24">
        <v>576.11</v>
      </c>
      <c r="C24">
        <f t="shared" si="0"/>
        <v>1922</v>
      </c>
      <c r="D24">
        <f t="shared" si="1"/>
        <v>576.11</v>
      </c>
      <c r="E24">
        <f t="shared" si="2"/>
        <v>105.69461678034212</v>
      </c>
      <c r="F24">
        <f t="shared" si="3"/>
        <v>0</v>
      </c>
    </row>
    <row r="25" spans="1:6" x14ac:dyDescent="0.2">
      <c r="A25">
        <v>192301192312</v>
      </c>
      <c r="B25">
        <v>570.63</v>
      </c>
      <c r="C25">
        <f t="shared" si="0"/>
        <v>1923</v>
      </c>
      <c r="D25">
        <f t="shared" si="1"/>
        <v>570.63</v>
      </c>
      <c r="E25">
        <f t="shared" si="2"/>
        <v>104.68924193880788</v>
      </c>
      <c r="F25">
        <f t="shared" si="3"/>
        <v>0</v>
      </c>
    </row>
    <row r="26" spans="1:6" x14ac:dyDescent="0.2">
      <c r="A26">
        <v>192401192412</v>
      </c>
      <c r="B26">
        <v>417.4</v>
      </c>
      <c r="C26">
        <f t="shared" si="0"/>
        <v>1924</v>
      </c>
      <c r="D26">
        <f t="shared" si="1"/>
        <v>417.4</v>
      </c>
      <c r="E26">
        <f t="shared" si="2"/>
        <v>76.577273513937953</v>
      </c>
      <c r="F26">
        <f t="shared" si="3"/>
        <v>1</v>
      </c>
    </row>
    <row r="27" spans="1:6" x14ac:dyDescent="0.2">
      <c r="A27">
        <v>192501192512</v>
      </c>
      <c r="B27">
        <v>483.37</v>
      </c>
      <c r="C27">
        <f t="shared" si="0"/>
        <v>1925</v>
      </c>
      <c r="D27">
        <f t="shared" si="1"/>
        <v>483.37</v>
      </c>
      <c r="E27">
        <f t="shared" si="2"/>
        <v>88.680298750436492</v>
      </c>
      <c r="F27">
        <f t="shared" si="3"/>
        <v>2</v>
      </c>
    </row>
    <row r="28" spans="1:6" x14ac:dyDescent="0.2">
      <c r="A28">
        <v>192601192612</v>
      </c>
      <c r="B28">
        <v>512.95000000000005</v>
      </c>
      <c r="C28">
        <f t="shared" si="0"/>
        <v>1926</v>
      </c>
      <c r="D28">
        <f t="shared" si="1"/>
        <v>512.95000000000005</v>
      </c>
      <c r="E28">
        <f t="shared" si="2"/>
        <v>94.107121343973361</v>
      </c>
      <c r="F28">
        <f t="shared" si="3"/>
        <v>3</v>
      </c>
    </row>
    <row r="29" spans="1:6" x14ac:dyDescent="0.2">
      <c r="A29">
        <v>192701192712</v>
      </c>
      <c r="B29">
        <v>412.76</v>
      </c>
      <c r="C29">
        <f t="shared" si="0"/>
        <v>1927</v>
      </c>
      <c r="D29">
        <f t="shared" si="1"/>
        <v>412.76</v>
      </c>
      <c r="E29">
        <f t="shared" si="2"/>
        <v>75.726007224755705</v>
      </c>
      <c r="F29">
        <f t="shared" si="3"/>
        <v>4</v>
      </c>
    </row>
    <row r="30" spans="1:6" x14ac:dyDescent="0.2">
      <c r="A30">
        <v>192801192812</v>
      </c>
      <c r="B30">
        <v>336</v>
      </c>
      <c r="C30">
        <f t="shared" si="0"/>
        <v>1928</v>
      </c>
      <c r="D30">
        <f t="shared" si="1"/>
        <v>336</v>
      </c>
      <c r="E30">
        <f t="shared" si="2"/>
        <v>61.643420940783791</v>
      </c>
      <c r="F30">
        <f t="shared" si="3"/>
        <v>5</v>
      </c>
    </row>
    <row r="31" spans="1:6" x14ac:dyDescent="0.2">
      <c r="A31">
        <v>192901192912</v>
      </c>
      <c r="B31">
        <v>414.26</v>
      </c>
      <c r="C31">
        <f t="shared" si="0"/>
        <v>1929</v>
      </c>
      <c r="D31">
        <f t="shared" si="1"/>
        <v>414.26</v>
      </c>
      <c r="E31">
        <f t="shared" si="2"/>
        <v>76.001201068241343</v>
      </c>
      <c r="F31">
        <f t="shared" si="3"/>
        <v>6</v>
      </c>
    </row>
    <row r="32" spans="1:6" x14ac:dyDescent="0.2">
      <c r="A32">
        <v>193001193012</v>
      </c>
      <c r="B32">
        <v>620.34</v>
      </c>
      <c r="C32">
        <f t="shared" si="0"/>
        <v>1930</v>
      </c>
      <c r="D32">
        <f t="shared" si="1"/>
        <v>620.34</v>
      </c>
      <c r="E32">
        <f t="shared" si="2"/>
        <v>113.80916591192207</v>
      </c>
      <c r="F32">
        <f t="shared" si="3"/>
        <v>0</v>
      </c>
    </row>
    <row r="33" spans="1:6" x14ac:dyDescent="0.2">
      <c r="A33">
        <v>193101193112</v>
      </c>
      <c r="B33">
        <v>436.27</v>
      </c>
      <c r="C33">
        <f t="shared" si="0"/>
        <v>1931</v>
      </c>
      <c r="D33">
        <f t="shared" si="1"/>
        <v>436.27</v>
      </c>
      <c r="E33">
        <f t="shared" si="2"/>
        <v>80.039212064987325</v>
      </c>
      <c r="F33">
        <f t="shared" si="3"/>
        <v>1</v>
      </c>
    </row>
    <row r="34" spans="1:6" x14ac:dyDescent="0.2">
      <c r="A34">
        <v>193201193212</v>
      </c>
      <c r="B34">
        <v>485.54</v>
      </c>
      <c r="C34">
        <f t="shared" si="0"/>
        <v>1932</v>
      </c>
      <c r="D34">
        <f t="shared" si="1"/>
        <v>485.54</v>
      </c>
      <c r="E34">
        <f t="shared" si="2"/>
        <v>89.078412510679044</v>
      </c>
      <c r="F34">
        <f t="shared" si="3"/>
        <v>2</v>
      </c>
    </row>
    <row r="35" spans="1:6" x14ac:dyDescent="0.2">
      <c r="A35">
        <v>193301193312</v>
      </c>
      <c r="B35">
        <v>486.41</v>
      </c>
      <c r="C35">
        <f t="shared" si="0"/>
        <v>1933</v>
      </c>
      <c r="D35">
        <f t="shared" si="1"/>
        <v>486.41</v>
      </c>
      <c r="E35">
        <f t="shared" si="2"/>
        <v>89.238024939900725</v>
      </c>
      <c r="F35">
        <f t="shared" si="3"/>
        <v>3</v>
      </c>
    </row>
    <row r="36" spans="1:6" x14ac:dyDescent="0.2">
      <c r="A36">
        <v>193401193412</v>
      </c>
      <c r="B36">
        <v>412.74</v>
      </c>
      <c r="C36">
        <f t="shared" si="0"/>
        <v>1934</v>
      </c>
      <c r="D36">
        <f t="shared" si="1"/>
        <v>412.74</v>
      </c>
      <c r="E36">
        <f t="shared" si="2"/>
        <v>75.722337973509241</v>
      </c>
      <c r="F36">
        <f t="shared" si="3"/>
        <v>4</v>
      </c>
    </row>
    <row r="37" spans="1:6" x14ac:dyDescent="0.2">
      <c r="A37">
        <v>193501193512</v>
      </c>
      <c r="B37">
        <v>433</v>
      </c>
      <c r="C37">
        <f t="shared" si="0"/>
        <v>1935</v>
      </c>
      <c r="D37">
        <f t="shared" si="1"/>
        <v>433</v>
      </c>
      <c r="E37">
        <f t="shared" si="2"/>
        <v>79.439289486188642</v>
      </c>
      <c r="F37">
        <f t="shared" si="3"/>
        <v>5</v>
      </c>
    </row>
    <row r="38" spans="1:6" x14ac:dyDescent="0.2">
      <c r="A38">
        <v>193601193612</v>
      </c>
      <c r="B38">
        <v>429.36</v>
      </c>
      <c r="C38">
        <f t="shared" si="0"/>
        <v>1936</v>
      </c>
      <c r="D38">
        <f t="shared" si="1"/>
        <v>429.36</v>
      </c>
      <c r="E38">
        <f t="shared" si="2"/>
        <v>78.771485759330133</v>
      </c>
      <c r="F38">
        <f t="shared" si="3"/>
        <v>6</v>
      </c>
    </row>
    <row r="39" spans="1:6" x14ac:dyDescent="0.2">
      <c r="A39">
        <v>193701193712</v>
      </c>
      <c r="B39">
        <v>486.02</v>
      </c>
      <c r="C39">
        <f t="shared" si="0"/>
        <v>1937</v>
      </c>
      <c r="D39">
        <f t="shared" si="1"/>
        <v>486.02</v>
      </c>
      <c r="E39">
        <f t="shared" si="2"/>
        <v>89.16647454059445</v>
      </c>
      <c r="F39">
        <f t="shared" si="3"/>
        <v>7</v>
      </c>
    </row>
    <row r="40" spans="1:6" x14ac:dyDescent="0.2">
      <c r="A40">
        <v>193801193812</v>
      </c>
      <c r="B40">
        <v>428.15</v>
      </c>
      <c r="C40">
        <f t="shared" si="0"/>
        <v>1938</v>
      </c>
      <c r="D40">
        <f t="shared" si="1"/>
        <v>428.15</v>
      </c>
      <c r="E40">
        <f t="shared" si="2"/>
        <v>78.549496058918393</v>
      </c>
      <c r="F40">
        <f t="shared" si="3"/>
        <v>8</v>
      </c>
    </row>
    <row r="41" spans="1:6" x14ac:dyDescent="0.2">
      <c r="A41">
        <v>193901193912</v>
      </c>
      <c r="B41">
        <v>557.54</v>
      </c>
      <c r="C41">
        <f t="shared" si="0"/>
        <v>1939</v>
      </c>
      <c r="D41">
        <f t="shared" si="1"/>
        <v>557.54</v>
      </c>
      <c r="E41">
        <f t="shared" si="2"/>
        <v>102.28771699798986</v>
      </c>
      <c r="F41">
        <f t="shared" si="3"/>
        <v>0</v>
      </c>
    </row>
    <row r="42" spans="1:6" x14ac:dyDescent="0.2">
      <c r="A42">
        <v>194001194012</v>
      </c>
      <c r="B42">
        <v>558.29999999999995</v>
      </c>
      <c r="C42">
        <f t="shared" si="0"/>
        <v>1940</v>
      </c>
      <c r="D42">
        <f t="shared" si="1"/>
        <v>558.29999999999995</v>
      </c>
      <c r="E42">
        <f t="shared" si="2"/>
        <v>102.42714854535591</v>
      </c>
      <c r="F42">
        <f t="shared" si="3"/>
        <v>0</v>
      </c>
    </row>
    <row r="43" spans="1:6" x14ac:dyDescent="0.2">
      <c r="A43">
        <v>194101194112</v>
      </c>
      <c r="B43">
        <v>639.04</v>
      </c>
      <c r="C43">
        <f t="shared" si="0"/>
        <v>1941</v>
      </c>
      <c r="D43">
        <f t="shared" si="1"/>
        <v>639.04</v>
      </c>
      <c r="E43">
        <f t="shared" si="2"/>
        <v>117.23991582737641</v>
      </c>
      <c r="F43">
        <f t="shared" si="3"/>
        <v>0</v>
      </c>
    </row>
    <row r="44" spans="1:6" x14ac:dyDescent="0.2">
      <c r="A44">
        <v>194201194212</v>
      </c>
      <c r="B44">
        <v>504.95</v>
      </c>
      <c r="C44">
        <f t="shared" si="0"/>
        <v>1942</v>
      </c>
      <c r="D44">
        <f t="shared" si="1"/>
        <v>504.95</v>
      </c>
      <c r="E44">
        <f t="shared" si="2"/>
        <v>92.639420845383256</v>
      </c>
      <c r="F44">
        <f t="shared" si="3"/>
        <v>1</v>
      </c>
    </row>
    <row r="45" spans="1:6" x14ac:dyDescent="0.2">
      <c r="A45">
        <v>194301194312</v>
      </c>
      <c r="B45">
        <v>432.99</v>
      </c>
      <c r="C45">
        <f t="shared" si="0"/>
        <v>1943</v>
      </c>
      <c r="D45">
        <f t="shared" si="1"/>
        <v>432.99</v>
      </c>
      <c r="E45">
        <f t="shared" si="2"/>
        <v>79.437454860565396</v>
      </c>
      <c r="F45">
        <f t="shared" si="3"/>
        <v>2</v>
      </c>
    </row>
    <row r="46" spans="1:6" x14ac:dyDescent="0.2">
      <c r="A46">
        <v>194401194412</v>
      </c>
      <c r="B46">
        <v>584.49</v>
      </c>
      <c r="C46">
        <f t="shared" si="0"/>
        <v>1944</v>
      </c>
      <c r="D46">
        <f t="shared" si="1"/>
        <v>584.49</v>
      </c>
      <c r="E46">
        <f t="shared" si="2"/>
        <v>107.23203305261524</v>
      </c>
      <c r="F46">
        <f t="shared" si="3"/>
        <v>0</v>
      </c>
    </row>
    <row r="47" spans="1:6" x14ac:dyDescent="0.2">
      <c r="A47">
        <v>194501194512</v>
      </c>
      <c r="B47">
        <v>503.09</v>
      </c>
      <c r="C47">
        <f t="shared" si="0"/>
        <v>1945</v>
      </c>
      <c r="D47">
        <f t="shared" si="1"/>
        <v>503.09</v>
      </c>
      <c r="E47">
        <f t="shared" si="2"/>
        <v>92.298180479461053</v>
      </c>
      <c r="F47">
        <f t="shared" si="3"/>
        <v>1</v>
      </c>
    </row>
    <row r="48" spans="1:6" x14ac:dyDescent="0.2">
      <c r="A48">
        <v>194601194612</v>
      </c>
      <c r="B48">
        <v>469.9</v>
      </c>
      <c r="C48">
        <f t="shared" si="0"/>
        <v>1946</v>
      </c>
      <c r="D48">
        <f t="shared" si="1"/>
        <v>469.9</v>
      </c>
      <c r="E48">
        <f t="shared" si="2"/>
        <v>86.209058035935413</v>
      </c>
      <c r="F48">
        <f t="shared" si="3"/>
        <v>2</v>
      </c>
    </row>
    <row r="49" spans="1:6" x14ac:dyDescent="0.2">
      <c r="A49">
        <v>194701194712</v>
      </c>
      <c r="B49">
        <v>495.25</v>
      </c>
      <c r="C49">
        <f t="shared" si="0"/>
        <v>1947</v>
      </c>
      <c r="D49">
        <f t="shared" si="1"/>
        <v>495.25</v>
      </c>
      <c r="E49">
        <f t="shared" si="2"/>
        <v>90.859833990842773</v>
      </c>
      <c r="F49">
        <f t="shared" si="3"/>
        <v>3</v>
      </c>
    </row>
    <row r="50" spans="1:6" x14ac:dyDescent="0.2">
      <c r="A50">
        <v>194801194812</v>
      </c>
      <c r="B50">
        <v>442.32</v>
      </c>
      <c r="C50">
        <f t="shared" si="0"/>
        <v>1948</v>
      </c>
      <c r="D50">
        <f t="shared" si="1"/>
        <v>442.32</v>
      </c>
      <c r="E50">
        <f t="shared" si="2"/>
        <v>81.149160567046081</v>
      </c>
      <c r="F50">
        <f t="shared" si="3"/>
        <v>4</v>
      </c>
    </row>
    <row r="51" spans="1:6" x14ac:dyDescent="0.2">
      <c r="A51">
        <v>194901194912</v>
      </c>
      <c r="B51">
        <v>507.86</v>
      </c>
      <c r="C51">
        <f t="shared" si="0"/>
        <v>1949</v>
      </c>
      <c r="D51">
        <f t="shared" si="1"/>
        <v>507.86</v>
      </c>
      <c r="E51">
        <f t="shared" si="2"/>
        <v>93.173296901745402</v>
      </c>
      <c r="F51">
        <f t="shared" si="3"/>
        <v>5</v>
      </c>
    </row>
    <row r="52" spans="1:6" x14ac:dyDescent="0.2">
      <c r="A52">
        <v>195001195012</v>
      </c>
      <c r="B52">
        <v>670.67</v>
      </c>
      <c r="C52">
        <f t="shared" si="0"/>
        <v>1950</v>
      </c>
      <c r="D52">
        <f t="shared" si="1"/>
        <v>670.67</v>
      </c>
      <c r="E52">
        <f t="shared" si="2"/>
        <v>123.04283667367697</v>
      </c>
      <c r="F52">
        <f t="shared" si="3"/>
        <v>0</v>
      </c>
    </row>
    <row r="53" spans="1:6" x14ac:dyDescent="0.2">
      <c r="A53">
        <v>195101195112</v>
      </c>
      <c r="B53">
        <v>381.46</v>
      </c>
      <c r="C53">
        <f t="shared" si="0"/>
        <v>1951</v>
      </c>
      <c r="D53">
        <f t="shared" si="1"/>
        <v>381.46</v>
      </c>
      <c r="E53">
        <f t="shared" si="2"/>
        <v>69.98362902402198</v>
      </c>
      <c r="F53">
        <f t="shared" si="3"/>
        <v>1</v>
      </c>
    </row>
    <row r="54" spans="1:6" x14ac:dyDescent="0.2">
      <c r="A54">
        <v>195201195212</v>
      </c>
      <c r="B54">
        <v>329.6</v>
      </c>
      <c r="C54">
        <f t="shared" si="0"/>
        <v>1952</v>
      </c>
      <c r="D54">
        <f t="shared" si="1"/>
        <v>329.6</v>
      </c>
      <c r="E54">
        <f t="shared" si="2"/>
        <v>60.469260541911716</v>
      </c>
      <c r="F54">
        <f t="shared" si="3"/>
        <v>2</v>
      </c>
    </row>
    <row r="55" spans="1:6" x14ac:dyDescent="0.2">
      <c r="A55">
        <v>195301195312</v>
      </c>
      <c r="B55">
        <v>515.57000000000005</v>
      </c>
      <c r="C55">
        <f t="shared" si="0"/>
        <v>1953</v>
      </c>
      <c r="D55">
        <f t="shared" si="1"/>
        <v>515.57000000000005</v>
      </c>
      <c r="E55">
        <f t="shared" si="2"/>
        <v>94.587793257261609</v>
      </c>
      <c r="F55">
        <f t="shared" si="3"/>
        <v>3</v>
      </c>
    </row>
    <row r="56" spans="1:6" x14ac:dyDescent="0.2">
      <c r="A56">
        <v>195401195412</v>
      </c>
      <c r="B56">
        <v>432.78</v>
      </c>
      <c r="C56">
        <f t="shared" si="0"/>
        <v>1954</v>
      </c>
      <c r="D56">
        <f t="shared" si="1"/>
        <v>432.78</v>
      </c>
      <c r="E56">
        <f t="shared" si="2"/>
        <v>79.398927722477396</v>
      </c>
      <c r="F56">
        <f t="shared" si="3"/>
        <v>4</v>
      </c>
    </row>
    <row r="57" spans="1:6" x14ac:dyDescent="0.2">
      <c r="A57">
        <v>195501195512</v>
      </c>
      <c r="B57">
        <v>527.72</v>
      </c>
      <c r="C57">
        <f t="shared" si="0"/>
        <v>1955</v>
      </c>
      <c r="D57">
        <f t="shared" si="1"/>
        <v>527.72</v>
      </c>
      <c r="E57">
        <f t="shared" si="2"/>
        <v>96.816863389495296</v>
      </c>
      <c r="F57">
        <f t="shared" si="3"/>
        <v>5</v>
      </c>
    </row>
    <row r="58" spans="1:6" x14ac:dyDescent="0.2">
      <c r="A58">
        <v>195601195612</v>
      </c>
      <c r="B58">
        <v>611.07000000000005</v>
      </c>
      <c r="C58">
        <f t="shared" si="0"/>
        <v>1956</v>
      </c>
      <c r="D58">
        <f t="shared" si="1"/>
        <v>611.07000000000005</v>
      </c>
      <c r="E58">
        <f t="shared" si="2"/>
        <v>112.10846795918081</v>
      </c>
      <c r="F58">
        <f t="shared" si="3"/>
        <v>0</v>
      </c>
    </row>
    <row r="59" spans="1:6" x14ac:dyDescent="0.2">
      <c r="A59">
        <v>195701195712</v>
      </c>
      <c r="B59">
        <v>570.85</v>
      </c>
      <c r="C59">
        <f t="shared" si="0"/>
        <v>1957</v>
      </c>
      <c r="D59">
        <f t="shared" si="1"/>
        <v>570.85</v>
      </c>
      <c r="E59">
        <f t="shared" si="2"/>
        <v>104.72960370251914</v>
      </c>
      <c r="F59">
        <f t="shared" si="3"/>
        <v>0</v>
      </c>
    </row>
    <row r="60" spans="1:6" x14ac:dyDescent="0.2">
      <c r="A60">
        <v>195801195812</v>
      </c>
      <c r="B60">
        <v>335.06</v>
      </c>
      <c r="C60">
        <f t="shared" si="0"/>
        <v>1958</v>
      </c>
      <c r="D60">
        <f t="shared" si="1"/>
        <v>335.06</v>
      </c>
      <c r="E60">
        <f t="shared" si="2"/>
        <v>61.470966132199457</v>
      </c>
      <c r="F60">
        <f t="shared" si="3"/>
        <v>1</v>
      </c>
    </row>
    <row r="61" spans="1:6" x14ac:dyDescent="0.2">
      <c r="A61">
        <v>195901195912</v>
      </c>
      <c r="B61">
        <v>460.4</v>
      </c>
      <c r="C61">
        <f t="shared" si="0"/>
        <v>1959</v>
      </c>
      <c r="D61">
        <f t="shared" si="1"/>
        <v>460.4</v>
      </c>
      <c r="E61">
        <f t="shared" si="2"/>
        <v>84.466163693859684</v>
      </c>
      <c r="F61">
        <f t="shared" si="3"/>
        <v>2</v>
      </c>
    </row>
    <row r="62" spans="1:6" x14ac:dyDescent="0.2">
      <c r="A62">
        <v>196001196012</v>
      </c>
      <c r="B62">
        <v>520.04999999999995</v>
      </c>
      <c r="C62">
        <f t="shared" si="0"/>
        <v>1960</v>
      </c>
      <c r="D62">
        <f t="shared" si="1"/>
        <v>520.04999999999995</v>
      </c>
      <c r="E62">
        <f t="shared" si="2"/>
        <v>95.409705536472046</v>
      </c>
      <c r="F62">
        <f t="shared" si="3"/>
        <v>3</v>
      </c>
    </row>
    <row r="63" spans="1:6" x14ac:dyDescent="0.2">
      <c r="A63">
        <v>196101196112</v>
      </c>
      <c r="B63">
        <v>252.82</v>
      </c>
      <c r="C63">
        <f t="shared" si="0"/>
        <v>1961</v>
      </c>
      <c r="D63">
        <f t="shared" si="1"/>
        <v>252.82</v>
      </c>
      <c r="E63">
        <f t="shared" si="2"/>
        <v>46.383005006693324</v>
      </c>
      <c r="F63">
        <f t="shared" si="3"/>
        <v>4</v>
      </c>
    </row>
    <row r="64" spans="1:6" x14ac:dyDescent="0.2">
      <c r="A64">
        <v>196201196212</v>
      </c>
      <c r="B64">
        <v>457.5</v>
      </c>
      <c r="C64">
        <f t="shared" si="0"/>
        <v>1962</v>
      </c>
      <c r="D64">
        <f t="shared" si="1"/>
        <v>457.5</v>
      </c>
      <c r="E64">
        <f t="shared" si="2"/>
        <v>83.934122263120784</v>
      </c>
      <c r="F64">
        <f t="shared" si="3"/>
        <v>5</v>
      </c>
    </row>
    <row r="65" spans="1:6" x14ac:dyDescent="0.2">
      <c r="A65">
        <v>196301196312</v>
      </c>
      <c r="B65">
        <v>410.68</v>
      </c>
      <c r="C65">
        <f t="shared" si="0"/>
        <v>1963</v>
      </c>
      <c r="D65">
        <f t="shared" si="1"/>
        <v>410.68</v>
      </c>
      <c r="E65">
        <f t="shared" si="2"/>
        <v>75.344405095122283</v>
      </c>
      <c r="F65">
        <f t="shared" si="3"/>
        <v>6</v>
      </c>
    </row>
    <row r="66" spans="1:6" x14ac:dyDescent="0.2">
      <c r="A66">
        <v>196401196412</v>
      </c>
      <c r="B66">
        <v>452.51</v>
      </c>
      <c r="C66">
        <f t="shared" si="0"/>
        <v>1964</v>
      </c>
      <c r="D66">
        <f t="shared" si="1"/>
        <v>452.51</v>
      </c>
      <c r="E66">
        <f t="shared" si="2"/>
        <v>83.018644077125217</v>
      </c>
      <c r="F66">
        <f t="shared" si="3"/>
        <v>7</v>
      </c>
    </row>
    <row r="67" spans="1:6" x14ac:dyDescent="0.2">
      <c r="A67">
        <v>196501196512</v>
      </c>
      <c r="B67">
        <v>410.26</v>
      </c>
      <c r="C67">
        <f t="shared" ref="C67:C127" si="4">INT(A67/100000000)</f>
        <v>1965</v>
      </c>
      <c r="D67">
        <f t="shared" ref="D67:D127" si="5">B67</f>
        <v>410.26</v>
      </c>
      <c r="E67">
        <f t="shared" ref="E67:E127" si="6">D67 / $G$2 * 100</f>
        <v>75.267350818946298</v>
      </c>
      <c r="F67">
        <f t="shared" si="3"/>
        <v>8</v>
      </c>
    </row>
    <row r="68" spans="1:6" x14ac:dyDescent="0.2">
      <c r="A68">
        <v>196601196612</v>
      </c>
      <c r="B68">
        <v>462.62</v>
      </c>
      <c r="C68">
        <f t="shared" si="4"/>
        <v>1966</v>
      </c>
      <c r="D68">
        <f t="shared" si="5"/>
        <v>462.62</v>
      </c>
      <c r="E68">
        <f t="shared" si="6"/>
        <v>84.873450582218453</v>
      </c>
      <c r="F68">
        <f t="shared" ref="F68:F127" si="7">IF(E68&lt;100, F67+1, 0)</f>
        <v>9</v>
      </c>
    </row>
    <row r="69" spans="1:6" x14ac:dyDescent="0.2">
      <c r="A69">
        <v>196701196712</v>
      </c>
      <c r="B69">
        <v>584.29</v>
      </c>
      <c r="C69">
        <f t="shared" si="4"/>
        <v>1967</v>
      </c>
      <c r="D69">
        <f t="shared" si="5"/>
        <v>584.29</v>
      </c>
      <c r="E69">
        <f t="shared" si="6"/>
        <v>107.19534054015047</v>
      </c>
      <c r="F69">
        <f t="shared" si="7"/>
        <v>0</v>
      </c>
    </row>
    <row r="70" spans="1:6" x14ac:dyDescent="0.2">
      <c r="A70">
        <v>196801196812</v>
      </c>
      <c r="B70">
        <v>684.64</v>
      </c>
      <c r="C70">
        <f t="shared" si="4"/>
        <v>1968</v>
      </c>
      <c r="D70">
        <f t="shared" si="5"/>
        <v>684.64</v>
      </c>
      <c r="E70">
        <f t="shared" si="6"/>
        <v>125.60580866933992</v>
      </c>
      <c r="F70">
        <f t="shared" si="7"/>
        <v>0</v>
      </c>
    </row>
    <row r="71" spans="1:6" x14ac:dyDescent="0.2">
      <c r="A71">
        <v>196901196912</v>
      </c>
      <c r="B71">
        <v>534.35</v>
      </c>
      <c r="C71">
        <f t="shared" si="4"/>
        <v>1969</v>
      </c>
      <c r="D71">
        <f t="shared" si="5"/>
        <v>534.35</v>
      </c>
      <c r="E71">
        <f t="shared" si="6"/>
        <v>98.033220177701835</v>
      </c>
      <c r="F71">
        <f t="shared" si="7"/>
        <v>1</v>
      </c>
    </row>
    <row r="72" spans="1:6" x14ac:dyDescent="0.2">
      <c r="A72">
        <v>197001197012</v>
      </c>
      <c r="B72">
        <v>352.71</v>
      </c>
      <c r="C72">
        <f t="shared" si="4"/>
        <v>1970</v>
      </c>
      <c r="D72">
        <f t="shared" si="5"/>
        <v>352.71</v>
      </c>
      <c r="E72">
        <f t="shared" si="6"/>
        <v>64.709080357213836</v>
      </c>
      <c r="F72">
        <f t="shared" si="7"/>
        <v>2</v>
      </c>
    </row>
    <row r="73" spans="1:6" x14ac:dyDescent="0.2">
      <c r="A73">
        <v>197101197112</v>
      </c>
      <c r="B73">
        <v>499.33</v>
      </c>
      <c r="C73">
        <f t="shared" si="4"/>
        <v>1971</v>
      </c>
      <c r="D73">
        <f t="shared" si="5"/>
        <v>499.33</v>
      </c>
      <c r="E73">
        <f t="shared" si="6"/>
        <v>91.608361245123717</v>
      </c>
      <c r="F73">
        <f t="shared" si="7"/>
        <v>3</v>
      </c>
    </row>
    <row r="74" spans="1:6" x14ac:dyDescent="0.2">
      <c r="A74">
        <v>197201197212</v>
      </c>
      <c r="B74">
        <v>436.21</v>
      </c>
      <c r="C74">
        <f t="shared" si="4"/>
        <v>1972</v>
      </c>
      <c r="D74">
        <f t="shared" si="5"/>
        <v>436.21</v>
      </c>
      <c r="E74">
        <f t="shared" si="6"/>
        <v>80.02820431124789</v>
      </c>
      <c r="F74">
        <f t="shared" si="7"/>
        <v>4</v>
      </c>
    </row>
    <row r="75" spans="1:6" x14ac:dyDescent="0.2">
      <c r="A75">
        <v>197301197312</v>
      </c>
      <c r="B75">
        <v>707.19</v>
      </c>
      <c r="C75">
        <f t="shared" si="4"/>
        <v>1973</v>
      </c>
      <c r="D75">
        <f t="shared" si="5"/>
        <v>707.19</v>
      </c>
      <c r="E75">
        <f t="shared" si="6"/>
        <v>129.74288944974074</v>
      </c>
      <c r="F75">
        <f t="shared" si="7"/>
        <v>0</v>
      </c>
    </row>
    <row r="76" spans="1:6" x14ac:dyDescent="0.2">
      <c r="A76">
        <v>197401197412</v>
      </c>
      <c r="B76">
        <v>1006.48</v>
      </c>
      <c r="C76">
        <f t="shared" si="4"/>
        <v>1974</v>
      </c>
      <c r="D76">
        <f t="shared" si="5"/>
        <v>1006.48</v>
      </c>
      <c r="E76">
        <f t="shared" si="6"/>
        <v>184.65139972761926</v>
      </c>
      <c r="F76">
        <f t="shared" si="7"/>
        <v>0</v>
      </c>
    </row>
    <row r="77" spans="1:6" x14ac:dyDescent="0.2">
      <c r="A77">
        <v>197501197512</v>
      </c>
      <c r="B77">
        <v>803.32</v>
      </c>
      <c r="C77">
        <f t="shared" si="4"/>
        <v>1975</v>
      </c>
      <c r="D77">
        <f t="shared" si="5"/>
        <v>803.32</v>
      </c>
      <c r="E77">
        <f t="shared" si="6"/>
        <v>147.37914556592392</v>
      </c>
      <c r="F77">
        <f t="shared" si="7"/>
        <v>0</v>
      </c>
    </row>
    <row r="78" spans="1:6" x14ac:dyDescent="0.2">
      <c r="A78">
        <v>197601197612</v>
      </c>
      <c r="B78">
        <v>720.76</v>
      </c>
      <c r="C78">
        <f t="shared" si="4"/>
        <v>1976</v>
      </c>
      <c r="D78">
        <f t="shared" si="5"/>
        <v>720.76</v>
      </c>
      <c r="E78">
        <f t="shared" si="6"/>
        <v>132.23247642047417</v>
      </c>
      <c r="F78">
        <f t="shared" si="7"/>
        <v>0</v>
      </c>
    </row>
    <row r="79" spans="1:6" x14ac:dyDescent="0.2">
      <c r="A79">
        <v>197701197712</v>
      </c>
      <c r="B79">
        <v>753.33</v>
      </c>
      <c r="C79">
        <f t="shared" si="4"/>
        <v>1977</v>
      </c>
      <c r="D79">
        <f t="shared" si="5"/>
        <v>753.33</v>
      </c>
      <c r="E79">
        <f t="shared" si="6"/>
        <v>138.20785207535909</v>
      </c>
      <c r="F79">
        <f t="shared" si="7"/>
        <v>0</v>
      </c>
    </row>
    <row r="80" spans="1:6" x14ac:dyDescent="0.2">
      <c r="A80">
        <v>197801197812</v>
      </c>
      <c r="B80">
        <v>568.66</v>
      </c>
      <c r="C80">
        <f t="shared" si="4"/>
        <v>1978</v>
      </c>
      <c r="D80">
        <f t="shared" si="5"/>
        <v>568.66</v>
      </c>
      <c r="E80">
        <f t="shared" si="6"/>
        <v>104.32782069103008</v>
      </c>
      <c r="F80">
        <f t="shared" si="7"/>
        <v>0</v>
      </c>
    </row>
    <row r="81" spans="1:6" x14ac:dyDescent="0.2">
      <c r="A81">
        <v>197901197912</v>
      </c>
      <c r="B81">
        <v>527.23</v>
      </c>
      <c r="C81">
        <f t="shared" si="4"/>
        <v>1979</v>
      </c>
      <c r="D81">
        <f t="shared" si="5"/>
        <v>527.23</v>
      </c>
      <c r="E81">
        <f t="shared" si="6"/>
        <v>96.726966733956658</v>
      </c>
      <c r="F81">
        <f t="shared" si="7"/>
        <v>1</v>
      </c>
    </row>
    <row r="82" spans="1:6" x14ac:dyDescent="0.2">
      <c r="A82">
        <v>198001198012</v>
      </c>
      <c r="B82">
        <v>526.34</v>
      </c>
      <c r="C82">
        <f t="shared" si="4"/>
        <v>1980</v>
      </c>
      <c r="D82">
        <f t="shared" si="5"/>
        <v>526.34</v>
      </c>
      <c r="E82">
        <f t="shared" si="6"/>
        <v>96.563685053488513</v>
      </c>
      <c r="F82">
        <f t="shared" si="7"/>
        <v>2</v>
      </c>
    </row>
    <row r="83" spans="1:6" x14ac:dyDescent="0.2">
      <c r="A83">
        <v>198101198112</v>
      </c>
      <c r="B83">
        <v>640.36</v>
      </c>
      <c r="C83">
        <f t="shared" si="4"/>
        <v>1981</v>
      </c>
      <c r="D83">
        <f t="shared" si="5"/>
        <v>640.36</v>
      </c>
      <c r="E83">
        <f t="shared" si="6"/>
        <v>117.48208640964377</v>
      </c>
      <c r="F83">
        <f t="shared" si="7"/>
        <v>0</v>
      </c>
    </row>
    <row r="84" spans="1:6" x14ac:dyDescent="0.2">
      <c r="A84">
        <v>198201198212</v>
      </c>
      <c r="B84">
        <v>579.19000000000005</v>
      </c>
      <c r="C84">
        <f t="shared" si="4"/>
        <v>1982</v>
      </c>
      <c r="D84">
        <f t="shared" si="5"/>
        <v>579.19000000000005</v>
      </c>
      <c r="E84">
        <f t="shared" si="6"/>
        <v>106.25968147229929</v>
      </c>
      <c r="F84">
        <f t="shared" si="7"/>
        <v>0</v>
      </c>
    </row>
    <row r="85" spans="1:6" x14ac:dyDescent="0.2">
      <c r="A85">
        <v>198301198312</v>
      </c>
      <c r="B85">
        <v>528.84</v>
      </c>
      <c r="C85">
        <f t="shared" si="4"/>
        <v>1983</v>
      </c>
      <c r="D85">
        <f t="shared" si="5"/>
        <v>528.84</v>
      </c>
      <c r="E85">
        <f t="shared" si="6"/>
        <v>97.02234145929792</v>
      </c>
      <c r="F85">
        <f t="shared" si="7"/>
        <v>1</v>
      </c>
    </row>
    <row r="86" spans="1:6" x14ac:dyDescent="0.2">
      <c r="A86">
        <v>198401198412</v>
      </c>
      <c r="B86">
        <v>689.97</v>
      </c>
      <c r="C86">
        <f t="shared" si="4"/>
        <v>1984</v>
      </c>
      <c r="D86">
        <f t="shared" si="5"/>
        <v>689.97</v>
      </c>
      <c r="E86">
        <f t="shared" si="6"/>
        <v>126.58366412652558</v>
      </c>
      <c r="F86">
        <f t="shared" si="7"/>
        <v>0</v>
      </c>
    </row>
    <row r="87" spans="1:6" x14ac:dyDescent="0.2">
      <c r="A87">
        <v>198501198512</v>
      </c>
      <c r="B87">
        <v>457.96</v>
      </c>
      <c r="C87">
        <f t="shared" si="4"/>
        <v>1985</v>
      </c>
      <c r="D87">
        <f t="shared" si="5"/>
        <v>457.96</v>
      </c>
      <c r="E87">
        <f t="shared" si="6"/>
        <v>84.018515041789712</v>
      </c>
      <c r="F87">
        <f t="shared" si="7"/>
        <v>1</v>
      </c>
    </row>
    <row r="88" spans="1:6" x14ac:dyDescent="0.2">
      <c r="A88">
        <v>198601198612</v>
      </c>
      <c r="B88">
        <v>424.38</v>
      </c>
      <c r="C88">
        <f t="shared" si="4"/>
        <v>1986</v>
      </c>
      <c r="D88">
        <f t="shared" si="5"/>
        <v>424.38</v>
      </c>
      <c r="E88">
        <f t="shared" si="6"/>
        <v>77.857842198957812</v>
      </c>
      <c r="F88">
        <f t="shared" si="7"/>
        <v>2</v>
      </c>
    </row>
    <row r="89" spans="1:6" x14ac:dyDescent="0.2">
      <c r="A89">
        <v>198701198712</v>
      </c>
      <c r="B89">
        <v>575.98</v>
      </c>
      <c r="C89">
        <f t="shared" si="4"/>
        <v>1987</v>
      </c>
      <c r="D89">
        <f t="shared" si="5"/>
        <v>575.98</v>
      </c>
      <c r="E89">
        <f t="shared" si="6"/>
        <v>105.67076664724001</v>
      </c>
      <c r="F89">
        <f t="shared" si="7"/>
        <v>0</v>
      </c>
    </row>
    <row r="90" spans="1:6" x14ac:dyDescent="0.2">
      <c r="A90">
        <v>198801198812</v>
      </c>
      <c r="B90">
        <v>460.57</v>
      </c>
      <c r="C90">
        <f t="shared" si="4"/>
        <v>1988</v>
      </c>
      <c r="D90">
        <f t="shared" si="5"/>
        <v>460.57</v>
      </c>
      <c r="E90">
        <f t="shared" si="6"/>
        <v>84.497352329454728</v>
      </c>
      <c r="F90">
        <f t="shared" si="7"/>
        <v>1</v>
      </c>
    </row>
    <row r="91" spans="1:6" x14ac:dyDescent="0.2">
      <c r="A91">
        <v>198901198912</v>
      </c>
      <c r="B91">
        <v>474.11</v>
      </c>
      <c r="C91">
        <f t="shared" si="4"/>
        <v>1989</v>
      </c>
      <c r="D91">
        <f t="shared" si="5"/>
        <v>474.11</v>
      </c>
      <c r="E91">
        <f t="shared" si="6"/>
        <v>86.981435423318459</v>
      </c>
      <c r="F91">
        <f t="shared" si="7"/>
        <v>2</v>
      </c>
    </row>
    <row r="92" spans="1:6" x14ac:dyDescent="0.2">
      <c r="A92">
        <v>199001199012</v>
      </c>
      <c r="B92">
        <v>369.52</v>
      </c>
      <c r="C92">
        <f t="shared" si="4"/>
        <v>1990</v>
      </c>
      <c r="D92">
        <f t="shared" si="5"/>
        <v>369.52</v>
      </c>
      <c r="E92">
        <f t="shared" si="6"/>
        <v>67.793086029876264</v>
      </c>
      <c r="F92">
        <f t="shared" si="7"/>
        <v>3</v>
      </c>
    </row>
    <row r="93" spans="1:6" x14ac:dyDescent="0.2">
      <c r="A93">
        <v>199101199112</v>
      </c>
      <c r="B93">
        <v>575.51</v>
      </c>
      <c r="C93">
        <f t="shared" si="4"/>
        <v>1991</v>
      </c>
      <c r="D93">
        <f t="shared" si="5"/>
        <v>575.51</v>
      </c>
      <c r="E93">
        <f t="shared" si="6"/>
        <v>105.58453924294784</v>
      </c>
      <c r="F93">
        <f t="shared" si="7"/>
        <v>0</v>
      </c>
    </row>
    <row r="94" spans="1:6" x14ac:dyDescent="0.2">
      <c r="A94">
        <v>199201199212</v>
      </c>
      <c r="B94">
        <v>379.36</v>
      </c>
      <c r="C94">
        <f t="shared" si="4"/>
        <v>1992</v>
      </c>
      <c r="D94">
        <f t="shared" si="5"/>
        <v>379.36</v>
      </c>
      <c r="E94">
        <f t="shared" si="6"/>
        <v>69.59835764314208</v>
      </c>
      <c r="F94">
        <f t="shared" si="7"/>
        <v>1</v>
      </c>
    </row>
    <row r="95" spans="1:6" x14ac:dyDescent="0.2">
      <c r="A95">
        <v>199301199312</v>
      </c>
      <c r="B95">
        <v>677.01</v>
      </c>
      <c r="C95">
        <f t="shared" si="4"/>
        <v>1993</v>
      </c>
      <c r="D95">
        <f t="shared" si="5"/>
        <v>677.01</v>
      </c>
      <c r="E95">
        <f t="shared" si="6"/>
        <v>124.20598931880961</v>
      </c>
      <c r="F95">
        <f t="shared" si="7"/>
        <v>0</v>
      </c>
    </row>
    <row r="96" spans="1:6" x14ac:dyDescent="0.2">
      <c r="A96">
        <v>199401199412</v>
      </c>
      <c r="B96">
        <v>429.56</v>
      </c>
      <c r="C96">
        <f t="shared" si="4"/>
        <v>1994</v>
      </c>
      <c r="D96">
        <f t="shared" si="5"/>
        <v>429.56</v>
      </c>
      <c r="E96">
        <f t="shared" si="6"/>
        <v>78.808178271794887</v>
      </c>
      <c r="F96">
        <f t="shared" si="7"/>
        <v>1</v>
      </c>
    </row>
    <row r="97" spans="1:6" x14ac:dyDescent="0.2">
      <c r="A97">
        <v>199501199512</v>
      </c>
      <c r="B97">
        <v>561.97</v>
      </c>
      <c r="C97">
        <f t="shared" si="4"/>
        <v>1995</v>
      </c>
      <c r="D97">
        <f t="shared" si="5"/>
        <v>561.97</v>
      </c>
      <c r="E97">
        <f t="shared" si="6"/>
        <v>103.10045614908412</v>
      </c>
      <c r="F97">
        <f t="shared" si="7"/>
        <v>0</v>
      </c>
    </row>
    <row r="98" spans="1:6" x14ac:dyDescent="0.2">
      <c r="A98">
        <v>199601199612</v>
      </c>
      <c r="B98">
        <v>463.26</v>
      </c>
      <c r="C98">
        <f t="shared" si="4"/>
        <v>1996</v>
      </c>
      <c r="D98">
        <f t="shared" si="5"/>
        <v>463.26</v>
      </c>
      <c r="E98">
        <f t="shared" si="6"/>
        <v>84.990866622105642</v>
      </c>
      <c r="F98">
        <f t="shared" si="7"/>
        <v>1</v>
      </c>
    </row>
    <row r="99" spans="1:6" x14ac:dyDescent="0.2">
      <c r="A99">
        <v>199701199712</v>
      </c>
      <c r="B99">
        <v>618.79999999999995</v>
      </c>
      <c r="C99">
        <f t="shared" si="4"/>
        <v>1997</v>
      </c>
      <c r="D99">
        <f t="shared" si="5"/>
        <v>618.79999999999995</v>
      </c>
      <c r="E99">
        <f t="shared" si="6"/>
        <v>113.52663356594346</v>
      </c>
      <c r="F99">
        <f t="shared" si="7"/>
        <v>0</v>
      </c>
    </row>
    <row r="100" spans="1:6" x14ac:dyDescent="0.2">
      <c r="A100">
        <v>199801199812</v>
      </c>
      <c r="B100">
        <v>564.45000000000005</v>
      </c>
      <c r="C100">
        <f t="shared" si="4"/>
        <v>1998</v>
      </c>
      <c r="D100">
        <f t="shared" si="5"/>
        <v>564.45000000000005</v>
      </c>
      <c r="E100">
        <f t="shared" si="6"/>
        <v>103.55544330364705</v>
      </c>
      <c r="F100">
        <f t="shared" si="7"/>
        <v>0</v>
      </c>
    </row>
    <row r="101" spans="1:6" x14ac:dyDescent="0.2">
      <c r="A101">
        <v>199901199912</v>
      </c>
      <c r="B101">
        <v>638.99</v>
      </c>
      <c r="C101">
        <f t="shared" si="4"/>
        <v>1999</v>
      </c>
      <c r="D101">
        <f t="shared" si="5"/>
        <v>638.99</v>
      </c>
      <c r="E101">
        <f t="shared" si="6"/>
        <v>117.23074269926022</v>
      </c>
      <c r="F101">
        <f t="shared" si="7"/>
        <v>0</v>
      </c>
    </row>
    <row r="102" spans="1:6" x14ac:dyDescent="0.2">
      <c r="A102">
        <v>200001200012</v>
      </c>
      <c r="B102">
        <v>1004.15</v>
      </c>
      <c r="C102">
        <f t="shared" si="4"/>
        <v>2000</v>
      </c>
      <c r="D102">
        <f t="shared" si="5"/>
        <v>1004.15</v>
      </c>
      <c r="E102">
        <f t="shared" si="6"/>
        <v>184.22393195740489</v>
      </c>
      <c r="F102">
        <f t="shared" si="7"/>
        <v>0</v>
      </c>
    </row>
    <row r="103" spans="1:6" x14ac:dyDescent="0.2">
      <c r="A103">
        <v>200101200112</v>
      </c>
      <c r="B103">
        <v>858.59</v>
      </c>
      <c r="C103">
        <f t="shared" si="4"/>
        <v>2001</v>
      </c>
      <c r="D103">
        <f t="shared" si="5"/>
        <v>858.59</v>
      </c>
      <c r="E103">
        <f t="shared" si="6"/>
        <v>157.51912138555818</v>
      </c>
      <c r="F103">
        <f t="shared" si="7"/>
        <v>0</v>
      </c>
    </row>
    <row r="104" spans="1:6" x14ac:dyDescent="0.2">
      <c r="A104">
        <v>200201200212</v>
      </c>
      <c r="B104">
        <v>400.17</v>
      </c>
      <c r="C104">
        <f t="shared" si="4"/>
        <v>2002</v>
      </c>
      <c r="D104">
        <f t="shared" si="5"/>
        <v>400.17</v>
      </c>
      <c r="E104">
        <f t="shared" si="6"/>
        <v>73.416213565099554</v>
      </c>
      <c r="F104">
        <f t="shared" si="7"/>
        <v>1</v>
      </c>
    </row>
    <row r="105" spans="1:6" x14ac:dyDescent="0.2">
      <c r="A105">
        <v>200301200312</v>
      </c>
      <c r="B105">
        <v>681.83</v>
      </c>
      <c r="C105">
        <f t="shared" si="4"/>
        <v>2003</v>
      </c>
      <c r="D105">
        <f t="shared" si="5"/>
        <v>681.83</v>
      </c>
      <c r="E105">
        <f t="shared" si="6"/>
        <v>125.09027886921015</v>
      </c>
      <c r="F105">
        <f t="shared" si="7"/>
        <v>0</v>
      </c>
    </row>
    <row r="106" spans="1:6" x14ac:dyDescent="0.2">
      <c r="A106">
        <v>200401200412</v>
      </c>
      <c r="B106">
        <v>626.91999999999996</v>
      </c>
      <c r="C106">
        <f t="shared" si="4"/>
        <v>2004</v>
      </c>
      <c r="D106">
        <f t="shared" si="5"/>
        <v>626.91999999999996</v>
      </c>
      <c r="E106">
        <f t="shared" si="6"/>
        <v>115.01634957201242</v>
      </c>
      <c r="F106">
        <f t="shared" si="7"/>
        <v>0</v>
      </c>
    </row>
    <row r="107" spans="1:6" x14ac:dyDescent="0.2">
      <c r="A107">
        <v>200501200512</v>
      </c>
      <c r="B107">
        <v>472.24</v>
      </c>
      <c r="C107">
        <f t="shared" si="4"/>
        <v>2005</v>
      </c>
      <c r="D107">
        <f t="shared" si="5"/>
        <v>472.24</v>
      </c>
      <c r="E107">
        <f t="shared" si="6"/>
        <v>86.638360431773023</v>
      </c>
      <c r="F107">
        <f t="shared" si="7"/>
        <v>1</v>
      </c>
    </row>
    <row r="108" spans="1:6" x14ac:dyDescent="0.2">
      <c r="A108">
        <v>200601200612</v>
      </c>
      <c r="B108">
        <v>674.51</v>
      </c>
      <c r="C108">
        <f t="shared" si="4"/>
        <v>2006</v>
      </c>
      <c r="D108">
        <f t="shared" si="5"/>
        <v>674.51</v>
      </c>
      <c r="E108">
        <f t="shared" si="6"/>
        <v>123.74733291300022</v>
      </c>
      <c r="F108">
        <f t="shared" si="7"/>
        <v>0</v>
      </c>
    </row>
    <row r="109" spans="1:6" x14ac:dyDescent="0.2">
      <c r="A109">
        <v>200701200712</v>
      </c>
      <c r="B109">
        <v>639.74</v>
      </c>
      <c r="C109">
        <f t="shared" si="4"/>
        <v>2007</v>
      </c>
      <c r="D109">
        <f t="shared" si="5"/>
        <v>639.74</v>
      </c>
      <c r="E109">
        <f t="shared" si="6"/>
        <v>117.36833962100303</v>
      </c>
      <c r="F109">
        <f t="shared" si="7"/>
        <v>0</v>
      </c>
    </row>
    <row r="110" spans="1:6" x14ac:dyDescent="0.2">
      <c r="A110">
        <v>200801200812</v>
      </c>
      <c r="B110">
        <v>545.27</v>
      </c>
      <c r="C110">
        <f t="shared" si="4"/>
        <v>2008</v>
      </c>
      <c r="D110">
        <f t="shared" si="5"/>
        <v>545.27</v>
      </c>
      <c r="E110">
        <f t="shared" si="6"/>
        <v>100.03663135827732</v>
      </c>
      <c r="F110">
        <f t="shared" si="7"/>
        <v>0</v>
      </c>
    </row>
    <row r="111" spans="1:6" x14ac:dyDescent="0.2">
      <c r="A111">
        <v>200901200912</v>
      </c>
      <c r="B111">
        <v>499.56</v>
      </c>
      <c r="C111">
        <f t="shared" si="4"/>
        <v>2009</v>
      </c>
      <c r="D111">
        <f t="shared" si="5"/>
        <v>499.56</v>
      </c>
      <c r="E111">
        <f t="shared" si="6"/>
        <v>91.650557634458181</v>
      </c>
      <c r="F111">
        <f t="shared" si="7"/>
        <v>1</v>
      </c>
    </row>
    <row r="112" spans="1:6" x14ac:dyDescent="0.2">
      <c r="A112">
        <v>201001201012</v>
      </c>
      <c r="B112">
        <v>881.62</v>
      </c>
      <c r="C112">
        <f t="shared" si="4"/>
        <v>2010</v>
      </c>
      <c r="D112">
        <f t="shared" si="5"/>
        <v>881.62</v>
      </c>
      <c r="E112">
        <f t="shared" si="6"/>
        <v>161.74426419587442</v>
      </c>
      <c r="F112">
        <f t="shared" si="7"/>
        <v>0</v>
      </c>
    </row>
    <row r="113" spans="1:6" x14ac:dyDescent="0.2">
      <c r="A113">
        <v>201101201112</v>
      </c>
      <c r="B113">
        <v>955.86</v>
      </c>
      <c r="C113">
        <f t="shared" si="4"/>
        <v>2011</v>
      </c>
      <c r="D113">
        <f t="shared" si="5"/>
        <v>955.86</v>
      </c>
      <c r="E113">
        <f t="shared" si="6"/>
        <v>175.36452482279046</v>
      </c>
      <c r="F113">
        <f t="shared" si="7"/>
        <v>0</v>
      </c>
    </row>
    <row r="114" spans="1:6" x14ac:dyDescent="0.2">
      <c r="A114">
        <v>201201201212</v>
      </c>
      <c r="B114">
        <v>497.63</v>
      </c>
      <c r="C114">
        <f t="shared" si="4"/>
        <v>2012</v>
      </c>
      <c r="D114">
        <f t="shared" si="5"/>
        <v>497.63</v>
      </c>
      <c r="E114">
        <f t="shared" si="6"/>
        <v>91.296474889173311</v>
      </c>
      <c r="F114">
        <f t="shared" si="7"/>
        <v>1</v>
      </c>
    </row>
    <row r="115" spans="1:6" x14ac:dyDescent="0.2">
      <c r="A115">
        <v>201301201312</v>
      </c>
      <c r="B115">
        <v>445.53</v>
      </c>
      <c r="C115">
        <f t="shared" si="4"/>
        <v>2013</v>
      </c>
      <c r="D115">
        <f t="shared" si="5"/>
        <v>445.53</v>
      </c>
      <c r="E115">
        <f t="shared" si="6"/>
        <v>81.738075392105358</v>
      </c>
      <c r="F115">
        <f t="shared" si="7"/>
        <v>2</v>
      </c>
    </row>
    <row r="116" spans="1:6" x14ac:dyDescent="0.2">
      <c r="A116">
        <v>201401201412</v>
      </c>
      <c r="B116">
        <v>664.04</v>
      </c>
      <c r="C116">
        <f t="shared" si="4"/>
        <v>2014</v>
      </c>
      <c r="D116">
        <f t="shared" si="5"/>
        <v>664.04</v>
      </c>
      <c r="E116">
        <f t="shared" si="6"/>
        <v>121.82647988547043</v>
      </c>
      <c r="F116">
        <f t="shared" si="7"/>
        <v>0</v>
      </c>
    </row>
    <row r="117" spans="1:6" x14ac:dyDescent="0.2">
      <c r="A117">
        <v>201501201512</v>
      </c>
      <c r="B117">
        <v>599.6</v>
      </c>
      <c r="C117">
        <f t="shared" si="4"/>
        <v>2015</v>
      </c>
      <c r="D117">
        <f t="shared" si="5"/>
        <v>599.6</v>
      </c>
      <c r="E117">
        <f t="shared" si="6"/>
        <v>110.00415236932726</v>
      </c>
      <c r="F117">
        <f t="shared" si="7"/>
        <v>0</v>
      </c>
    </row>
    <row r="118" spans="1:6" x14ac:dyDescent="0.2">
      <c r="A118">
        <v>201601201612</v>
      </c>
      <c r="B118">
        <v>587.04</v>
      </c>
      <c r="C118">
        <f t="shared" si="4"/>
        <v>2016</v>
      </c>
      <c r="D118">
        <f t="shared" si="5"/>
        <v>587.04</v>
      </c>
      <c r="E118">
        <f t="shared" si="6"/>
        <v>107.6998625865408</v>
      </c>
      <c r="F118">
        <f t="shared" si="7"/>
        <v>0</v>
      </c>
    </row>
    <row r="119" spans="1:6" x14ac:dyDescent="0.2">
      <c r="A119">
        <v>201701201712</v>
      </c>
      <c r="B119">
        <v>630.61</v>
      </c>
      <c r="C119">
        <f t="shared" si="4"/>
        <v>2017</v>
      </c>
      <c r="D119">
        <f t="shared" si="5"/>
        <v>630.61</v>
      </c>
      <c r="E119">
        <f t="shared" si="6"/>
        <v>115.69332642698711</v>
      </c>
      <c r="F119">
        <f t="shared" si="7"/>
        <v>0</v>
      </c>
    </row>
    <row r="120" spans="1:6" x14ac:dyDescent="0.2">
      <c r="A120">
        <v>201801201812</v>
      </c>
      <c r="B120">
        <v>485.34</v>
      </c>
      <c r="C120">
        <f t="shared" si="4"/>
        <v>2018</v>
      </c>
      <c r="D120">
        <f t="shared" si="5"/>
        <v>485.34</v>
      </c>
      <c r="E120">
        <f t="shared" si="6"/>
        <v>89.04171999821429</v>
      </c>
      <c r="F120">
        <f t="shared" si="7"/>
        <v>1</v>
      </c>
    </row>
    <row r="121" spans="1:6" x14ac:dyDescent="0.2">
      <c r="A121">
        <v>201901201912</v>
      </c>
      <c r="B121">
        <v>265.39</v>
      </c>
      <c r="C121">
        <f t="shared" si="4"/>
        <v>2019</v>
      </c>
      <c r="D121">
        <f t="shared" si="5"/>
        <v>265.39</v>
      </c>
      <c r="E121">
        <f t="shared" si="6"/>
        <v>48.689129415102997</v>
      </c>
      <c r="F121">
        <f t="shared" si="7"/>
        <v>2</v>
      </c>
    </row>
    <row r="122" spans="1:6" x14ac:dyDescent="0.2">
      <c r="A122">
        <v>202001202012</v>
      </c>
      <c r="B122">
        <v>611.91999999999996</v>
      </c>
      <c r="C122">
        <f t="shared" si="4"/>
        <v>2020</v>
      </c>
      <c r="D122">
        <f t="shared" si="5"/>
        <v>611.91999999999996</v>
      </c>
      <c r="E122">
        <f t="shared" si="6"/>
        <v>112.26441113715599</v>
      </c>
      <c r="F122">
        <f t="shared" si="7"/>
        <v>0</v>
      </c>
    </row>
    <row r="123" spans="1:6" x14ac:dyDescent="0.2">
      <c r="A123">
        <v>202101202112</v>
      </c>
      <c r="B123">
        <v>564.46</v>
      </c>
      <c r="C123">
        <f t="shared" si="4"/>
        <v>2021</v>
      </c>
      <c r="D123">
        <f t="shared" si="5"/>
        <v>564.46</v>
      </c>
      <c r="E123">
        <f t="shared" si="6"/>
        <v>103.5572779292703</v>
      </c>
      <c r="F123">
        <f t="shared" si="7"/>
        <v>0</v>
      </c>
    </row>
    <row r="124" spans="1:6" x14ac:dyDescent="0.2">
      <c r="A124">
        <v>202201202212</v>
      </c>
      <c r="B124">
        <v>616.62</v>
      </c>
      <c r="C124">
        <f t="shared" si="4"/>
        <v>2022</v>
      </c>
      <c r="D124">
        <f t="shared" si="5"/>
        <v>616.62</v>
      </c>
      <c r="E124">
        <f t="shared" si="6"/>
        <v>113.12668518007767</v>
      </c>
      <c r="F124">
        <f t="shared" si="7"/>
        <v>0</v>
      </c>
    </row>
    <row r="125" spans="1:6" x14ac:dyDescent="0.2">
      <c r="A125">
        <v>202301202312</v>
      </c>
      <c r="B125">
        <v>623.41999999999996</v>
      </c>
      <c r="C125">
        <f t="shared" si="4"/>
        <v>2023</v>
      </c>
      <c r="D125">
        <f t="shared" si="5"/>
        <v>623.41999999999996</v>
      </c>
      <c r="E125">
        <f t="shared" si="6"/>
        <v>114.37423060387925</v>
      </c>
      <c r="F125">
        <f t="shared" si="7"/>
        <v>0</v>
      </c>
    </row>
    <row r="126" spans="1:6" x14ac:dyDescent="0.2">
      <c r="A126">
        <v>202401202412</v>
      </c>
      <c r="B126">
        <v>903.7</v>
      </c>
      <c r="C126">
        <f t="shared" si="4"/>
        <v>2024</v>
      </c>
      <c r="D126">
        <f t="shared" si="5"/>
        <v>903.7</v>
      </c>
      <c r="E126">
        <f t="shared" si="6"/>
        <v>165.79511757198307</v>
      </c>
      <c r="F126">
        <f t="shared" si="7"/>
        <v>0</v>
      </c>
    </row>
    <row r="127" spans="1:6" x14ac:dyDescent="0.2">
      <c r="A127">
        <v>202501202512</v>
      </c>
      <c r="B127">
        <v>578.89</v>
      </c>
      <c r="C127">
        <f t="shared" si="4"/>
        <v>2025</v>
      </c>
      <c r="D127">
        <f t="shared" si="5"/>
        <v>578.89</v>
      </c>
      <c r="E127">
        <f t="shared" si="6"/>
        <v>106.20464270360218</v>
      </c>
      <c r="F127">
        <f t="shared" si="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Summary</vt:lpstr>
      <vt:lpstr>Summary2</vt:lpstr>
      <vt:lpstr>NSW</vt:lpstr>
      <vt:lpstr>VIC</vt:lpstr>
      <vt:lpstr>QLD</vt:lpstr>
      <vt:lpstr>SA</vt:lpstr>
      <vt:lpstr>WA</vt:lpstr>
      <vt:lpstr>TAS</vt:lpstr>
      <vt:lpstr>NT</vt:lpstr>
      <vt:lpstr>NSW!nsw_rainfall_1</vt:lpstr>
      <vt:lpstr>NT!nt_rainfall</vt:lpstr>
      <vt:lpstr>QLD!qld_rainfall</vt:lpstr>
      <vt:lpstr>SA!sa_rainfall</vt:lpstr>
      <vt:lpstr>TAS!tas_rainfall</vt:lpstr>
      <vt:lpstr>VIC!vic_rainfall</vt:lpstr>
      <vt:lpstr>WA!wa_rainfall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Aravindh Anand</dc:creator>
  <cp:lastModifiedBy>Aravindh Anand</cp:lastModifiedBy>
  <dcterms:created xsi:type="dcterms:W3CDTF">2026-09-30T07:01:31Z</dcterms:created>
  <dcterms:modified xsi:type="dcterms:W3CDTF">2026-09-30T07:51:08Z</dcterms:modified>
</cp:coreProperties>
</file>